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Copy of Backlog" sheetId="1" r:id="rId5"/>
    <sheet state="visible" name="Formulas" sheetId="2" r:id="rId6"/>
    <sheet state="visible" name="Statistics" sheetId="3" r:id="rId7"/>
    <sheet state="visible" name="Research Resources" sheetId="4" r:id="rId8"/>
    <sheet state="visible" name="Travel Resources" sheetId="5" r:id="rId9"/>
  </sheets>
  <definedNames>
    <definedName hidden="1" localSheetId="0" name="_xlnm._FilterDatabase">'Copy of Copy of Backlog'!$A$1:$AV$888</definedName>
  </definedNames>
  <calcPr/>
</workbook>
</file>

<file path=xl/sharedStrings.xml><?xml version="1.0" encoding="utf-8"?>
<sst xmlns="http://schemas.openxmlformats.org/spreadsheetml/2006/main" count="3183" uniqueCount="1308">
  <si>
    <t>Effort Willing to Visit</t>
  </si>
  <si>
    <t>What</t>
  </si>
  <si>
    <t>One Liner</t>
  </si>
  <si>
    <t>Longer Description</t>
  </si>
  <si>
    <t>Accessible</t>
  </si>
  <si>
    <t>Location</t>
  </si>
  <si>
    <t>Google Maps Link</t>
  </si>
  <si>
    <t>Location Category</t>
  </si>
  <si>
    <t>Cache Entry</t>
  </si>
  <si>
    <t>Address Component Types</t>
  </si>
  <si>
    <t>Map Content Dynamically Loaded</t>
  </si>
  <si>
    <t>City is in Location Description</t>
  </si>
  <si>
    <t>Coordinates Cached</t>
  </si>
  <si>
    <t>Lat</t>
  </si>
  <si>
    <t>Long</t>
  </si>
  <si>
    <t>City</t>
  </si>
  <si>
    <t>State / Region</t>
  </si>
  <si>
    <t>Postal Code</t>
  </si>
  <si>
    <t>Country</t>
  </si>
  <si>
    <t>Drive Distance (Miles)</t>
  </si>
  <si>
    <t>Drive Time</t>
  </si>
  <si>
    <t>Absolute Distance (Miles)</t>
  </si>
  <si>
    <t>Requires Hike?</t>
  </si>
  <si>
    <t>Hike Distance Roundtrip Miles</t>
  </si>
  <si>
    <t>Hike Link</t>
  </si>
  <si>
    <t>Last Been</t>
  </si>
  <si>
    <t>Activity</t>
  </si>
  <si>
    <t>Link 1</t>
  </si>
  <si>
    <t>Link 2</t>
  </si>
  <si>
    <t>Link 3</t>
  </si>
  <si>
    <t>Superlative Liner</t>
  </si>
  <si>
    <t>Notes</t>
  </si>
  <si>
    <t>7 - Bucket List</t>
  </si>
  <si>
    <t>Torngat Mountains National Park</t>
  </si>
  <si>
    <t>This dramatic, otherworldly landscape of sweeping peaks and valleys in Newfoundland and Labrador named for the Inuktitut “Tongait” or “place of the spirits” is remote with a capital R, which is why most travelers never make it there. Here’s why you should.</t>
  </si>
  <si>
    <t>It’s hard to describe the Torngats without gushing. It’s simply superlative. It’s a place of unusual geology created by some of the world’s oldest rocks. Towering glacier-carved mountains in hues of peach, green, and gray rise up dramatically from river-cut valleys and fjords far below like a cinematographer’s flipside take on Mordor. The place feels brooding, uplifting, and spiritual at the same time. Not surprisingly, it was once the stomping grounds of Inuit shamans. Go to get way out there and experience nature at her most unspoiled; for solitude, rugged adventure, to meet the Aboriginals who live there, and to see creatures like polar bears, whales, and caribou in their pristine natural environment.</t>
  </si>
  <si>
    <t>Torngat Mountains National Park, Canada</t>
  </si>
  <si>
    <t>Nature</t>
  </si>
  <si>
    <t>N/A</t>
  </si>
  <si>
    <t>https://us-keepexploring.canada.travel/things-to-do/bucket-list-guide-torngat-mountains-national-park</t>
  </si>
  <si>
    <t>Centralia</t>
  </si>
  <si>
    <t>Coal mining town with active fire under it</t>
  </si>
  <si>
    <t>Centralia was yet another victim of the U.S. decline in mining, but not in the same way as the others on this list. A massive underground coal fire ignited beneath the town in 1962 and it’s been burning ever since. The town’s population plummeted from more than 1,000 in 1980 to less than 10 in 2013. Not surprisingly, the town was subsequently condemned. However, some (clearly insane) residents still call the town home. Due to the dangerous air toxicity and high potential for sinkholes, most of it is strictly off limits. However, that hasn’t stopped the hundreds of “ruin porn”-seeking visitors who visit its decaying streets each year.</t>
  </si>
  <si>
    <t>1 – Accessible – Freely</t>
  </si>
  <si>
    <t>Centralia, PA</t>
  </si>
  <si>
    <t>Ghost Town</t>
  </si>
  <si>
    <t>Pennsylvania</t>
  </si>
  <si>
    <t>United States</t>
  </si>
  <si>
    <t>Mining Town that has an Underground Fire</t>
  </si>
  <si>
    <t>Lake Maracaibo</t>
  </si>
  <si>
    <t>Giant lake with frequent lightning</t>
  </si>
  <si>
    <t>Lake Maracaibo, Venezuela</t>
  </si>
  <si>
    <t>Faroe Islands</t>
  </si>
  <si>
    <t>Skopun</t>
  </si>
  <si>
    <t>Sandoy</t>
  </si>
  <si>
    <t>UNDEFINED</t>
  </si>
  <si>
    <t>Not Driveable</t>
  </si>
  <si>
    <t>Isle of Skye</t>
  </si>
  <si>
    <t>Isle of Skye, Scotland</t>
  </si>
  <si>
    <t>Wistman's Wood</t>
  </si>
  <si>
    <t>Two Bridges, Princetown, United Kingdom</t>
  </si>
  <si>
    <t>Princetown</t>
  </si>
  <si>
    <t>England</t>
  </si>
  <si>
    <t>PL20</t>
  </si>
  <si>
    <t>United Kingdom</t>
  </si>
  <si>
    <t>The Tumen River</t>
  </si>
  <si>
    <t>The Tumen River is a gateway between China, North Korea and Russia</t>
  </si>
  <si>
    <t>The Tumen River makes up part of the boundary between China, North Korea and Russia. Due to the fact that many North Koreans have been caught trying to enter China through the river’s shallow waters, the Tumen River is tightly guarded by the three countries.</t>
  </si>
  <si>
    <t>7 – Inaccessible – Government Property / Ban</t>
  </si>
  <si>
    <t>https://magazine.lensvid.com/article/fb/1318327108/mysterious-places-in-the-world-that-are-off-limits-to-everyone-and-why/</t>
  </si>
  <si>
    <t>Ise Grand Shrine, Japan</t>
  </si>
  <si>
    <t>Only the Japanese Imperial family is allowed inside the Ise Grand Shrine</t>
  </si>
  <si>
    <t>Erected in 4 BCE, the Ise Grand Shrine is considered the birthplace of Shinto, Japan’s native belief system. The shrine is so sacred to the Japanese that it receives over six million visitors every year even though access to the site is extremely limited. While only members of the Imperial family are allowed inside the main shrine, the general public can roam the forest around the Ise Grand Shrine.</t>
  </si>
  <si>
    <t>Religious Site</t>
  </si>
  <si>
    <t>Ise</t>
  </si>
  <si>
    <t>Mie</t>
  </si>
  <si>
    <t>516-0023</t>
  </si>
  <si>
    <t>Japan</t>
  </si>
  <si>
    <t>Paris Catacombs</t>
  </si>
  <si>
    <t>The majority of the Catacombs of Paris is off-limits to the public</t>
  </si>
  <si>
    <t>Originally built as a tunnel network to consolidate the French capital’s ancient mines, the Catacombs of Paris are underground ossuaries that hold the remains of over six million people. A small section of these tunnels is open to the general public, but the majority of the 170-mile-long maze is closed off to prevent visitors from getting lost.</t>
  </si>
  <si>
    <t>3 – Accessible – Tour Guide Required</t>
  </si>
  <si>
    <t>Paris</t>
  </si>
  <si>
    <t>Île-de-France</t>
  </si>
  <si>
    <t>France</t>
  </si>
  <si>
    <t>Svalbard</t>
  </si>
  <si>
    <t>One of the world’s northernmost inhabited areas with the world's northernmost brewery</t>
  </si>
  <si>
    <t>Svalbard, Norway</t>
  </si>
  <si>
    <t>Have a beer at the northernmost Brewery and experience remote nature</t>
  </si>
  <si>
    <t>Northernmost brewery in the world</t>
  </si>
  <si>
    <t>Hotel Bareiss</t>
  </si>
  <si>
    <t>Hotel Bareiss, Germany</t>
  </si>
  <si>
    <t>Destination Retreat / Getaway</t>
  </si>
  <si>
    <t>Baiersbronn</t>
  </si>
  <si>
    <t>Baden-Württemberg</t>
  </si>
  <si>
    <t>Germany</t>
  </si>
  <si>
    <t>https://www.bareiss.com/en/</t>
  </si>
  <si>
    <t>Resort and Spa in the Black Forrest</t>
  </si>
  <si>
    <t>Chernobyl Exclusion Zone</t>
  </si>
  <si>
    <t>Exclusion zone around Chernobyl</t>
  </si>
  <si>
    <t>8 – Inaccessible – Military Action / Dispute / Unrest</t>
  </si>
  <si>
    <t>Chernobyl Exclusion Zone, Belarus</t>
  </si>
  <si>
    <t>https://www.youtube.com/watch?v=Qk_gx3CmACY</t>
  </si>
  <si>
    <t>https://www.youtube.com/watch?v=sSIlZcEWyqg</t>
  </si>
  <si>
    <t>Alsace, France</t>
  </si>
  <si>
    <t>Alsace is one of the most beautiful regions in France. It is known for its Christmas markets, its castles, its wine road and its proximity to Germany. It is also known for its high-quality gastronomy, especially its sauerkraut, its Flammekueche, and its white wines.</t>
  </si>
  <si>
    <t>World Class Cities and Lands</t>
  </si>
  <si>
    <t>Korean Demilitarized Zone, Korean Peninsula</t>
  </si>
  <si>
    <t>The Korean Demilitarized Zone is so deadly for humans that it became an involuntary nature reserve</t>
  </si>
  <si>
    <t>The Korean Demilitarized Zone is a border barrier between North and South Korea. Since it is highly militarized on both sides to prevent people from crossing the border, the DMZ region sees very little human activity, accidentally making it a safe haven for wild animals and migratory birds.</t>
  </si>
  <si>
    <t>Hashima Island</t>
  </si>
  <si>
    <t>FEW PLACES IN THE WORLD have a history as odd, or as poignant as Gunkanjima’s. The tiny, fortress-like island (also known as “Hashima” or “Battleship Island”) lies just off the coast of Nagasaki. The island is ringed by a seawall, covered in tightly packed buildings, and entirely abandoned - a ghost town that has been completely uninhabited for more than forty years. In the early 1900s, Gunkanjima was developed by the Mitsubishi Corporation, which believed - correctly - that the island was sitting on a rich submarine coal deposit. For almost the next hundred years, the mine grew deeper and longer, stretching out under the seabed to harvest the coal that was powering Japan’s industrial expansion. By 1941, the island, less than one square kilometer in area, was producing 400,000 tonnes of coal per year. And many of those working slavishly in the undersea mine were forced laborers from Korea. Even more remarkable than the mine was the city that had grown up around it. To accommodate the miners, ten-story apartment complexes were built up on the tiny rock - a high-rise maze linked together by courtyards, corridors, and stairs. There were schools, restaurants, and gaming houses, all encircled by the protective seawall. The island became known as “Midori nashi Shima,” the island without green. Amazingly, by the mid-1950s, it housed almost six thousand people, giving it the highest population density the world has ever known. And then the coal ran out. Mitsubishi closed the mine, everyone left, and this island city was abandoned, left to revert back to nature. The apartments began to crumble, and for the first time, in the barren courtyards, green things started to grow. Broken glass and old newspapers blew over the streets. The sea-breeze whistled through the windows. Now, fifty years later, the island is exactly as it was just after Mitsubishi left. A ghost town in the middle of the sea. From 1974 to 2009, the island was officially closed to all visitors, but recently the intriguing site has been re-opened to organized tours. The site was approved for inclusion on the UNESCO World Heritage list on July 5, 2015.</t>
  </si>
  <si>
    <t>Hashima Island, Japan</t>
  </si>
  <si>
    <t>https://www.atlasobscura.com/places/gubkanjima-island</t>
  </si>
  <si>
    <t>Eerie sightseeing spot Hashima Island is an abandoned offshore mining facility, also known as Gunkanjima or Battleship Island. Visitors tour its overgrown industrial sites, semi-ruined concrete workers’ quarters, and so-called “stairway to hell.” There’s a quiet Shinto shrine at the center and views across the East China Sea from atop the perimeter wall. The James Bond film “Skyfall” was partly set on the island.</t>
  </si>
  <si>
    <t>Pripyat, Ukraine</t>
  </si>
  <si>
    <t xml:space="preserve">Ghost town outside of Chernobyl </t>
  </si>
  <si>
    <t>Arguably the world’s most infamous ghost town, Pripyat is packed with poignant sights. Mundane artefacts litter its homes, schools, offices and parks, telling of a carefree time just before the devastating Chernobyl disaster turned the community (and the wider world) upside down. Built to house the plant’s scientists and workers, Pripyat has been abandoned since its residents were evacuated 36 hours after the catastrophic meltdown took place in the Soviet power plant in 1986. Due to the radiation all their possessions had to be left behind. Set within the inner nuclear disaster zone, Pripyat's eerie buildings and empty streets were cordoned off from the world until recently. Nature has reclaimed much of the radioactive place: trees have grown unhindered, creeping through into the communist blocks, wildflowers bloom in the spring, and wild animals roam unhindered, including a team of horses that thrived after a few were released into the area to see if animals could survive. The Ukrainian government designated Chernobyl an official tourist attraction in 2019 after the exclusion zone was deemed safe to visit for tourists. Access is still strictly regulated by the government and can only be explored on guided tours. Haunting sights include the deserted school, where books and paper lie scattered on the floor of the classrooms, and a decaying amusement park. The Ferris wheel is a moving symbol of joy extinguished – it was supposed to open four days after the explosion, but never welcomed any guests. See more eerie images of abandoned amusement parks around the world.</t>
  </si>
  <si>
    <t>Trinity Site</t>
  </si>
  <si>
    <t>Home of the first atom bomb test</t>
  </si>
  <si>
    <t>Military and Heavy Industry</t>
  </si>
  <si>
    <t>Albuquerque</t>
  </si>
  <si>
    <t>New Mexico</t>
  </si>
  <si>
    <t>Baikonur Cosmodrome</t>
  </si>
  <si>
    <t>Baikonur Cosmodrome, Kazakhstan</t>
  </si>
  <si>
    <t>Cross the Gobi Desert</t>
  </si>
  <si>
    <t>Gobi Desert, Mongolia</t>
  </si>
  <si>
    <t>Nomgon</t>
  </si>
  <si>
    <t>Ömnögovi</t>
  </si>
  <si>
    <t>Mongolia</t>
  </si>
  <si>
    <t>See the Wild Horses of Mongolia</t>
  </si>
  <si>
    <t>Przewalski's horse, also called the takhi, Mongolian wild horse or Dzungarian horse, is a rare and endangered horse originally native to the steppes of Central Asia</t>
  </si>
  <si>
    <t>Attu Station</t>
  </si>
  <si>
    <t>Station on the end of the Aleutians – one of the only pieces of US land captured by Japan in WWII</t>
  </si>
  <si>
    <t>4 – Ambiguous / Unknown – Open</t>
  </si>
  <si>
    <t>Attu Station, Attu Island, AK</t>
  </si>
  <si>
    <t>Abandoned Building</t>
  </si>
  <si>
    <t>Alaska</t>
  </si>
  <si>
    <t>Mongol Rally</t>
  </si>
  <si>
    <t>The Mongol Rally is an intercontinental car rally that begins in Europe and ends in Ulan-Ude, Russia</t>
  </si>
  <si>
    <t>The Cheyenne Mountain Complex, United States</t>
  </si>
  <si>
    <t>The Cheyenne Mountain Complex is known as “America’s Fortress”</t>
  </si>
  <si>
    <t>Originally used as the center for the United States Space Command and the North American Aerospace Defense Command, the Cheyenne Mountain Complex monitored the North American airspace for missiles, space systems, and foreign aircraft. Nowadays, the complex is an Alternate Command Center for NORAD and serves as a training site for crew qualification.</t>
  </si>
  <si>
    <t>The Cheyenne Mountain Complex, Colorado, USA</t>
  </si>
  <si>
    <t>The Vatican Secret Archives, Vatican</t>
  </si>
  <si>
    <t>The Vatican Secret Archives hold documents dating back to the 8th century</t>
  </si>
  <si>
    <t>From Martin Luther’s excommunication papers to a letter from Michelangelo to Pope Julius II, the 50 miles of shelving at the Vatican’s secret archives hold artifacts and documents dating back to the eighth century. Since 1881, select scholars are allowed to research the archive, although admittance remains strict to this day.</t>
  </si>
  <si>
    <t>9 – Inaccessible – Other</t>
  </si>
  <si>
    <t>Fishing Village of Houtouwan</t>
  </si>
  <si>
    <t>Houtouwan, China</t>
  </si>
  <si>
    <t>The United Nations Buffer Zone, Cyprus</t>
  </si>
  <si>
    <t>The United Nations Buffer Zone in Cyprus is home to an abandoned airport and decades-old advertisements for products that no longer exist</t>
  </si>
  <si>
    <t>Due to a civil war between its Greek and Turkish populations, the island of Cyprus became a divided country. To enforce this division after the ceasefire in 1974, the United Nations established a 112-mile demilitarized buffer zone which is off-limits to both communities. The abandoned area within the capital city of Nicosia is home to an abandoned airport, old homes and advertisements for products that don’t even exist anymore.</t>
  </si>
  <si>
    <t>Aksai Chin</t>
  </si>
  <si>
    <t>Despite being the perfect landscape for travelers, Aksai Chin is off-limits to the public</t>
  </si>
  <si>
    <t>Located in Ladakh, Aksai Chin is a disputed territory between China and India. Although Aksai Chin comprises of beautiful cold desert landscapes, salt planes, and salt lakes, only military personnel and officials are allowed in the region due to its strategic location.</t>
  </si>
  <si>
    <t>Sikkim</t>
  </si>
  <si>
    <t>Sikkim, India</t>
  </si>
  <si>
    <t>Ta Prohm, Angkor Wat</t>
  </si>
  <si>
    <t>2 – Accessible – Gated Entry</t>
  </si>
  <si>
    <t>Ta Prohm, Angkor Wat, Thailand</t>
  </si>
  <si>
    <t>Mount Fitz Roy</t>
  </si>
  <si>
    <t>Mount Fitz Roy, Argentina</t>
  </si>
  <si>
    <t>Al Madam Ghost Town</t>
  </si>
  <si>
    <t>Desert reclaimed ghost town 37 miles from Dubai</t>
  </si>
  <si>
    <t>Al Madam, UAE</t>
  </si>
  <si>
    <t>Al Madam</t>
  </si>
  <si>
    <t>Sharjah</t>
  </si>
  <si>
    <t>United Arab Emirates</t>
  </si>
  <si>
    <t>Swallowed by sand—the 'ghost town' of Al Madam in Sharjah, UAE. An inland town in United Arab Emirates (UAE), today known as Al Madam, lives as a ghost town, a place that has long been abandoned, long forgotten!</t>
  </si>
  <si>
    <t>Inaccessible Island</t>
  </si>
  <si>
    <t>McMurdo Station, Antarctica</t>
  </si>
  <si>
    <t>With 1,258 residents, McMurdo Station is the largest community in Antarctica</t>
  </si>
  <si>
    <t>McMurdo Station is a research station in Antarctica operated by the United States. In the summer, the number of residents in the community can reach 1,258, while in the winter it plummets to less than 250. Access to the facilities is strictly forbidden to tourists and only researchers and support staff are allowed to enter and reside in the community.</t>
  </si>
  <si>
    <t>5 – Access Considerably Restricted – Special Process / Circumstance Required</t>
  </si>
  <si>
    <t>-77.846389, 166.668333</t>
  </si>
  <si>
    <t>Kolmanskop</t>
  </si>
  <si>
    <t>Kolmanskop, Namibia</t>
  </si>
  <si>
    <t>Karas Region</t>
  </si>
  <si>
    <t>Namibia</t>
  </si>
  <si>
    <t>6 - Flight Worthy</t>
  </si>
  <si>
    <t>Yellowstone Snowmobiling</t>
  </si>
  <si>
    <t>Mammoth Hot Springs, Wyoming</t>
  </si>
  <si>
    <t>Titan Missile Museum</t>
  </si>
  <si>
    <t>Titan missile site with a deactivated missle</t>
  </si>
  <si>
    <t>Titan Missile Museum, AZ</t>
  </si>
  <si>
    <t>Sitka, AK</t>
  </si>
  <si>
    <t>Cute Towns</t>
  </si>
  <si>
    <t>Sitka</t>
  </si>
  <si>
    <t>The Willows Inn</t>
  </si>
  <si>
    <t>2579 W Shore Dr, Lummi Island, WA 98262</t>
  </si>
  <si>
    <t>Destination Dining</t>
  </si>
  <si>
    <t>Lummi Island</t>
  </si>
  <si>
    <t>Washington</t>
  </si>
  <si>
    <t>Carneros Resort and Spa</t>
  </si>
  <si>
    <t>4048 Sonoma Hwy, Napa, CA 94559</t>
  </si>
  <si>
    <t>Napa</t>
  </si>
  <si>
    <t>California</t>
  </si>
  <si>
    <t>Kennecott Mining Town</t>
  </si>
  <si>
    <t xml:space="preserve">Established in 1903, the copper mine and its town were home to miners and their families until 1938 when the copper ore was depleted and the town abandoned. </t>
  </si>
  <si>
    <t>Located in the remote Wrangell-St. Elias National Park, Kennecott is one of the best-preserved examples of its kind in the world. Established in 1903, the copper mine and its town were home to miners and their families until 1938 when the copper ore was depleted and the town abandoned. Between 1911 and 1938, the mine processed more than $200 million in copper ore. The mine and its town are now a National Historic Landmark and the site has become one of Alaska’s most visited tourist destinations. A guide is required to explore the iconic red mill building that stands 14 stories tall and overlooks the Kennicott glacier.</t>
  </si>
  <si>
    <t>Kennecott, AK</t>
  </si>
  <si>
    <t>https://en.wikipedia.org/wiki/Kennecott,_Alaska</t>
  </si>
  <si>
    <t>Old Mining Town</t>
  </si>
  <si>
    <t>Churchill, Canada – Polarbear Town</t>
  </si>
  <si>
    <t>A Canadian Town for Polar Bears</t>
  </si>
  <si>
    <t>Churchill, Canada</t>
  </si>
  <si>
    <t>Cave of Crystals</t>
  </si>
  <si>
    <t>Cave of Crystlas, Mexico</t>
  </si>
  <si>
    <t>Carbide Wilson Ruins</t>
  </si>
  <si>
    <t>Carbide Wilson, Quebec, Canada</t>
  </si>
  <si>
    <t>Festival Internacional Cervantino</t>
  </si>
  <si>
    <t>Guanajuato, Mexico</t>
  </si>
  <si>
    <t>Festival</t>
  </si>
  <si>
    <t>Guanajuato</t>
  </si>
  <si>
    <t>Mexico</t>
  </si>
  <si>
    <t>https://medium.com/@embamexindia/festival-internacional-cervantino-ac9e13b2092a</t>
  </si>
  <si>
    <t>Skagaway, AK</t>
  </si>
  <si>
    <t>Skagway, AK</t>
  </si>
  <si>
    <t>Other</t>
  </si>
  <si>
    <t>Skagway</t>
  </si>
  <si>
    <t>https://en.wikipedia.org/wiki/Skagway,_Alaska</t>
  </si>
  <si>
    <t>Old Mining Town w/ Goldrush Buildings</t>
  </si>
  <si>
    <t>San Juan Parangaricutiro</t>
  </si>
  <si>
    <t>San Juan Parangaricutiro, Mexico</t>
  </si>
  <si>
    <t>Ghost Town Destroyed by Volcano</t>
  </si>
  <si>
    <t>Chichen Itza Pyramid, Mexico</t>
  </si>
  <si>
    <t>Tourists were banned from climbing the Chichen Itza Pyramid after a woman tumbled off the pyramid in 2006</t>
  </si>
  <si>
    <t>One of the Seven Wonders of the World, the Chichen Itza Pyramid receives thousands of visitors every year. Although it is still allowed to visit the site, climbing the Mayan pyramid has been banned since 2006, when a tourist slipped on the steps and fell to the ground.</t>
  </si>
  <si>
    <t>Barrow, Utqiagvik, Alaska</t>
  </si>
  <si>
    <t>Utqiagvik, Alaska</t>
  </si>
  <si>
    <t>Utqiagvik</t>
  </si>
  <si>
    <t>Little Diomede Island</t>
  </si>
  <si>
    <t>Little Diomede Islands, Alaska</t>
  </si>
  <si>
    <t>Diomede</t>
  </si>
  <si>
    <t>Kirovsky, Kamchatka Russia</t>
  </si>
  <si>
    <t>Abandoned fishing village</t>
  </si>
  <si>
    <t>https://www.bbc.co.uk/news/resources/idt-sh/the_town_that_disappeared</t>
  </si>
  <si>
    <t>Ittoqqortoormiit Greenland Remote Hotel</t>
  </si>
  <si>
    <t>Could be the most remote hotel on Earth</t>
  </si>
  <si>
    <t>Ittoqqortoormiit, Greenland</t>
  </si>
  <si>
    <t>Ittoqqortoormiit</t>
  </si>
  <si>
    <t>Sermersooq Municipality</t>
  </si>
  <si>
    <t>Greenland</t>
  </si>
  <si>
    <t>https://www.cnn.com/travel/article/ittoqqortoormiit-greenland-remote-hotel/index.html</t>
  </si>
  <si>
    <t>Most remote hotel on earth</t>
  </si>
  <si>
    <t>R504 Kolyma Highway – Road of Bones – Bone Highway</t>
  </si>
  <si>
    <t>R504 Kolyma Highway</t>
  </si>
  <si>
    <t>Cappadocia</t>
  </si>
  <si>
    <t>Cappadocia, Turkey</t>
  </si>
  <si>
    <t>Over three decades after the Chernobyl disaster, a 1,000-sq-mi exclusion zone remains off-limits</t>
  </si>
  <si>
    <t>Soon after disaster struck nuclear reactor No. 4 in Chernobyl, the Soviet Army Forces established an Exclusion Zone where radioactive contamination was highest and public access had to be restricted. Today, it remains one of the most radioactive areas in the world and, due to the lack of human activity in the area, it is also a thriving sanctuary for local flora and fauna.</t>
  </si>
  <si>
    <t>51.300000, 30.005000</t>
  </si>
  <si>
    <t>Plymouth, Montserrat</t>
  </si>
  <si>
    <t>Plymouth, capital of the Caribbean island of Montserrat, is buried in volcanic ash. Plymouth is still the de jure capital of Montserrat, making it the only ghost town that is the capital of a political territory.</t>
  </si>
  <si>
    <t>When a previously dormant volcano in the southern part of Montserrat became active in 1995, two-thirds of the island’s population were forced to flee. While the rest of the population still lives on the other side of the island, an exclusion zone was imposed due to the potential for pyroclastic activity.</t>
  </si>
  <si>
    <t>Plymouth</t>
  </si>
  <si>
    <t>Saint Anthony Parish</t>
  </si>
  <si>
    <t>Montserrat</t>
  </si>
  <si>
    <t>The Farallon Islands</t>
  </si>
  <si>
    <t>The Farallon Islands are known as the “Devil’s Teeth Islands”</t>
  </si>
  <si>
    <t>Due to the high concentration of great white sharks in the area, Farallon Islands earned the nickname “Devil’s Teeth Islands”. But besides its population of sharks, seals, and whales, the islands are also known for the 48,000 drums of low-level radioactive waste dumped around them between 1946 and 1970. For both of those reasons, the Farallon is only accessible to very few conservation scientists and is completely off-limits to the public.</t>
  </si>
  <si>
    <t>St. Kilda Archipelago</t>
  </si>
  <si>
    <t>St. Kilda, Scotland</t>
  </si>
  <si>
    <t>https://www.nytimes.com/2021/10/11/travel/st-kilda-scotland.html</t>
  </si>
  <si>
    <t>The Tomb of Qin Shi Huang, China</t>
  </si>
  <si>
    <t>The Tomb of Qin Shi Huang contains 8,000 life-sized terracotta soldiers</t>
  </si>
  <si>
    <t>In 1974, workers drilling a well in central China discovered a subterranean chamber filled with thousands of life-sized terracotta soldier sculptures. Out of respect for China’s first emperor – and due to the high concentration of toxic mercury -, the actual tomb remains sealed and unexplored.</t>
  </si>
  <si>
    <t>Kakslauttanen Arctic Resort</t>
  </si>
  <si>
    <t>19 Kiilopääntie, Saariselkä, 99830, Finland</t>
  </si>
  <si>
    <t>Shetland Islands</t>
  </si>
  <si>
    <t>Orkney</t>
  </si>
  <si>
    <t>Orkney, Scotland</t>
  </si>
  <si>
    <t>Scotland</t>
  </si>
  <si>
    <t>KW17 2QH</t>
  </si>
  <si>
    <t>German Battleship Dive at Bottom of Scapa Flow and Visit Cathedral</t>
  </si>
  <si>
    <t>Kemi Snow Castle</t>
  </si>
  <si>
    <t>Lumilinnankatu, 3 Veronica Road, Kemi, 94720, Finland</t>
  </si>
  <si>
    <t>Kemi</t>
  </si>
  <si>
    <t>Finland</t>
  </si>
  <si>
    <t>The Svalbard Global Seed Vault, Norway</t>
  </si>
  <si>
    <t>The Svalbard Global Seed Vault is known as the ‘Doomsday vault’</t>
  </si>
  <si>
    <t>Located in the Arctic Svalbard archipelago, the Svalbard Global Seed Vault is a secure seed bank built to safeguard seed species in case of a global crisis. It contains over 800,000 samples of seeds from around the world and would make it possible to feed the human population in case of any possible disaster.</t>
  </si>
  <si>
    <t>Mount Roraima</t>
  </si>
  <si>
    <t>Mount Roraima, Brazil</t>
  </si>
  <si>
    <t>https://en.wikipedia.org/wiki/Mount_Roraima</t>
  </si>
  <si>
    <t>White’s Gentlemen’s Club, London, England</t>
  </si>
  <si>
    <t>Some of the White’s Gentlemen’s Club’s most prestigious members include Prince Charles and Prince William</t>
  </si>
  <si>
    <t>Founded in 1693, White’s Gentlemen’s Club is considered the most exclusive private club in London. Although the club maintains its male-only policy to this day, brief exceptions were made in 1991 and 2016 when Queen Elizabeth visited the premises.</t>
  </si>
  <si>
    <t>Secret Club</t>
  </si>
  <si>
    <t>Vale do Javari, Brazil</t>
  </si>
  <si>
    <t>Vale do Javari is home to the Amazon’s least contacted tribes</t>
  </si>
  <si>
    <t>Home to some of the most indigenous tribes of Brazil, including the Matses, Kulina, Matis, Mayoruna, and Korubo, Javari Reserve is one of the largest indigenous territories in the world. In order to protect these communities and their heritage, entry to these forests has been prohibited by the Brazilian government.</t>
  </si>
  <si>
    <t>Mont Saint-Michel</t>
  </si>
  <si>
    <t>SET ATOP A SOLID ROCK in the middle of a bay, the abbey and surrounding town was originally only accessible as the tides allowed. Although subsequent development has allowed 24 hours access to the island, an in-progress dam will restore the rock to its previous state as entirely surrounded by water during high tide. Regardless of whether there exists a 24 hour bridge to the rock or not, Mont Saint-Michel remains a singularly beautiful structure atop a amazing geological formation. During the day take a tour of the abbey and the (tiny) surrounding town. Even better, stay overnight in one of the hotels and you’ll have the run of the grounds as the island empties to only a handful of residents after dark. The abbey was originally built to the schematics of the Holy Sepulchre in Jerusalem, after both an abbot and a count had had visions of St. Michael. Historians suggest, though, that this was merely a scheme to increase tourism into the area. This place also is of interest for those of us, who are into the Arthurian mythology, as Thomas Malory claims that this is the place where King Arthur himself battled a virgin devouring giant, before going off on his campaign against the emperor of Rome.</t>
  </si>
  <si>
    <t>48.636, -1.511</t>
  </si>
  <si>
    <t>https://www.atlasobscura.com/places/mont-saint-michel</t>
  </si>
  <si>
    <t>Six Flags New Orleans</t>
  </si>
  <si>
    <t>Abandonded Theme Park</t>
  </si>
  <si>
    <t>Six Flags New Orleans, Louisiana</t>
  </si>
  <si>
    <t>New Orleans</t>
  </si>
  <si>
    <t>Louisiana</t>
  </si>
  <si>
    <t>https://www.insider.com/abandoned-places-us-states-2018-4#louisiana-six-flags-new-orleans-closed-after-hurricane-katrina-and-never-reopened-18</t>
  </si>
  <si>
    <t>Six Flags operated the New Orleans theme park from 2002 until 2005, when it was flooded by Hurricane Katrina (it was previously known as "Jazzland"). It's still in ruins. In 2009, the city terminated Six Flags' lease and announced that the area would be turned into a shopping complex, but nothing has happened so far.</t>
  </si>
  <si>
    <t>Pyramiden</t>
  </si>
  <si>
    <t>Northernmost ex soviet ghost town</t>
  </si>
  <si>
    <t>Pyramiden, Norway</t>
  </si>
  <si>
    <t>Svalbard and Jan Mayen</t>
  </si>
  <si>
    <t>Northernmost Ex-Soviet Town</t>
  </si>
  <si>
    <t xml:space="preserve">With its stark mountainous backdrop, the form of this well-preserved Arctic outpost appears even more chilling. The abandoned coal mining town of Pyramiden was once the largest settlement on the Norwegian Arctic archipelago of Svalbard. A busy and productive place for over 50 years, it was home to 1,000 people at its peak in the 80s before it closed. First established in 1910 by Sweden, the mine was sold to the Soviet Union in 1927, who built most of the distinctive buildings that remain today. Mining continued until 1998, when the last resources were extracted and Pyramiden abandoned. Thanks to the amount of everyday artefacts left behind, Pyramiden offers a remarkable insight into what life was like for its workers and families. Inside the Brutalist block-style housing complexes lie discarded coffee cups and folded clothes. There are paperwork-strewn offices, a commandeering bust of Lenin, and a music hall with a run-down grand piano. Still swings sit forlornly in the silent playground. While Pyramiden has fallen into a state of disrepair, home to roosting seabirds and the occasional polar bear, the Arctic climate has kept it remarkably intact. </t>
  </si>
  <si>
    <t>Abandoned Town of Submariners in Kamchatk</t>
  </si>
  <si>
    <t>Bechevinka was a naval base of the Soviet and Russian Navies in a remote portion of Kamchatka Peninsula, Russia. It was established in the 1960s for use by submarines of the Soviet Pacific Fleet. The site was abandoned in 1996 and is currently a tourist destination as a ghost town.</t>
  </si>
  <si>
    <t>Bechevinka, Russia</t>
  </si>
  <si>
    <t>Bechevinka</t>
  </si>
  <si>
    <t>Vologda Oblast</t>
  </si>
  <si>
    <t>Russia</t>
  </si>
  <si>
    <t>https://www.abandonedspaces.com/towns/abandoned-20.html?chrome=1&amp;D2c=1&amp;A1c=1</t>
  </si>
  <si>
    <t>Oradour-Sur-Glane, France</t>
  </si>
  <si>
    <t>Oradour-sur-Glane</t>
  </si>
  <si>
    <t>Nouvelle-Aquitaine</t>
  </si>
  <si>
    <t xml:space="preserve">The weather-worn ruins of this little village in the Limousin region of south-central France have been preserved to stand as a confronting reminder of the atrocities of the Second World War. The rural community was obliterated by SS troops in June 1944 after they stormed into Oradour-sur-Glane, rounded up residents into the church and barns and brutally murdered them. A total of 642 people were killed, many of them women and children. Over three-quarters of a century later and the ghostly remains of the village stand as a moving memorial to those who perished. Rusted cars, including the Peugeot 202 the mayor drove before his brutal death, still sit on the roads. Sewing machines, pitchers and pans still lie scattered around. The desolate church still stands with its bullet-ridden altar while the charred shells of homes and shops remain as they were left. The emotive site has a museum containing some relics recovered from the rubble and offers a glimpse into life in Oradour-sur-Glane before the atrocities. </t>
  </si>
  <si>
    <t>Runit Island Radioactive Waste Repository</t>
  </si>
  <si>
    <t>Runit Island</t>
  </si>
  <si>
    <t>Abandoned Structure</t>
  </si>
  <si>
    <t>Runit Island is one of 40 islands of the Enewetak Atoll of the Marshall Islands in the Pacific Ocean. The island is the site of a radioactive waste repository left by the United States after it conducted a series of nuclear tests on Enewetak Atoll between 1946 and 1958.</t>
  </si>
  <si>
    <t>Kyoto</t>
  </si>
  <si>
    <t>Kyoto, Japan</t>
  </si>
  <si>
    <t>604-0925</t>
  </si>
  <si>
    <t>Altamira Cave, Spain</t>
  </si>
  <si>
    <t>Altamira Cave is home to 36,000-year-old cave paintings</t>
  </si>
  <si>
    <t>Known for its 36,000-year-old charcoal drawings and polychrome paintings of the local fauna during the Upper Paleolithic, the Cave of Altamira is located in Spain. The site was initially discovered in 1868, declared a World Heritage Site by UNESCO in 1985, and closed to public access in 2002.</t>
  </si>
  <si>
    <t>Ancient Ruins – Archaeological Site</t>
  </si>
  <si>
    <t>Salton Sea</t>
  </si>
  <si>
    <t>A happy accident, a flooding in 1905 that lasted for two years, created the largest lake in California – the Salton Sea. The town by the lake quickly became a popular vacation spot with thousands of visitors flocking to the town on the weekends. However, the lake lacked a natural drainage system or an ecosystem to keep it healthy. By the late 1970s fish in the lake started to die and the fertilizers flowing into the lake caused an overgrowth of algae that died and eventually turned into a hydrogen sulfide gas. The residents reported smelling and even tasting the gas in the air and the town was quickly abandoned with people leaving everything behind to escape the toxic gas.</t>
  </si>
  <si>
    <t>Salton Sea, CA</t>
  </si>
  <si>
    <t>Bodie Ghost Town, CA</t>
  </si>
  <si>
    <t>Gold mining town in the 1870s abandoned in the early 1910s</t>
  </si>
  <si>
    <t>In 1859, a mining camp was established along what is today California’s U.S. Route 395. By the 1870s, substantial gold deposits were discovered nearby and the town boomed for several decades. By the early 20th century, however, the town was in serious decline. The last railcars rolled out in 1918, after which the line was abandoned. Today, Bodie remains the best-preserved ghost town in the entire country. The 110 still-standing structures are managed as part of the California State Park system. Exploring the old post office, original homes (many with dishes and everyday wares still scattered about), and intact stamp mill is like walking through a century-old snapshot frozen in time.</t>
  </si>
  <si>
    <t>Bodie, CA</t>
  </si>
  <si>
    <t>Fanal Forest, Medeira</t>
  </si>
  <si>
    <t>Foggy magical forest on Madeira</t>
  </si>
  <si>
    <t xml:space="preserve">Fanal Forest is a magical forest in the northern part of Madeira Island. Often, but not always, there is mysterious fog in the forest amongst the 600 year old trees, creating scenes straight out of a movie! The twisted tree branches with layers of moss on them have such interesting forms that it almost looks as if they’re alive. Whether you’re a tourist, amateur photographer or professional photographer, you have to experience Fanal Forest with fog at least once! But with all the different weather circumstances in Madeira, you have to be lucky to get the perfect conditions! Sometimes the fog can be too wet, too thick, or there is no fog at all. In this blog post I will try to explain how you can predict fog at Fanal Forest. But of course also what to expect, the best viewpoints, photography tips for Fanal Forest and the hikes that can be done from here. </t>
  </si>
  <si>
    <t>Fanal Pond, Medeira, Portugal</t>
  </si>
  <si>
    <t>https://www.youtube.com/watch?v=iR4Wc3fdpKw</t>
  </si>
  <si>
    <t>Hanford Site</t>
  </si>
  <si>
    <t>Hanford, WA</t>
  </si>
  <si>
    <t>Forget</t>
  </si>
  <si>
    <t>https://www.hanford.gov/</t>
  </si>
  <si>
    <t>https://www.thrillist.com/lifestyle/seattle/abandoned-places-in-washington-to-explore</t>
  </si>
  <si>
    <t>Trummelbach</t>
  </si>
  <si>
    <t>Trummelbach, Switzerland</t>
  </si>
  <si>
    <t>The Trümmelbach Falls in Switzerland are a series of ten glacier-fed waterfalls inside the mountain made accessible by a tunnel-funicular, built 1913, stairs, and illumination.</t>
  </si>
  <si>
    <t>Puno</t>
  </si>
  <si>
    <t>Puno, Peru</t>
  </si>
  <si>
    <t>Peru</t>
  </si>
  <si>
    <t>Semipalatinsk Test Site – The Polygon</t>
  </si>
  <si>
    <t>Semipalatinsk, Kazakhstan</t>
  </si>
  <si>
    <t>See the Saiga Antelope</t>
  </si>
  <si>
    <t>Urals, Kazakhstan</t>
  </si>
  <si>
    <t>Valley of Mills, Sorrento, Italy</t>
  </si>
  <si>
    <t>Sorrento</t>
  </si>
  <si>
    <t>Campania</t>
  </si>
  <si>
    <t>Italy</t>
  </si>
  <si>
    <t xml:space="preserve">Beautiful Overgrown Mill Valley </t>
  </si>
  <si>
    <t>Cape Verde</t>
  </si>
  <si>
    <t>Craco, Italy</t>
  </si>
  <si>
    <t>Craco</t>
  </si>
  <si>
    <t>Basilicata</t>
  </si>
  <si>
    <t xml:space="preserve">One of Europe's most breathtakingly beautiful ghost towns, Craco is an abandoned village in southern Italy's Basilicata region with a far-reaching history. People first settled on this picturesque clifftop in the 8th century BC but most of the decaying buildings that remain date from the medieval period. Craco has had numerous run-ins with Mother Nature over the years: from pestilence to floods, landslides and earthquakes. The hardy town survived the plague that swept through it in the 17th century and dramatically diminished its population. However, it was the landslides of the 1950s and 1970s that ultimately forced Craco's embattled citizens to leave once and for all. Now the eerie empty shell of a town is popular with guided tours. It has also been used as an atmospheric filming location – it most famously featured in the James Bond film Quantum of Solace. </t>
  </si>
  <si>
    <t>Carthage</t>
  </si>
  <si>
    <t>Carthage, Tunis</t>
  </si>
  <si>
    <t>Tunis</t>
  </si>
  <si>
    <t>Tunisia</t>
  </si>
  <si>
    <t>Aralsk 7</t>
  </si>
  <si>
    <t>Vozrozhdeniya Island</t>
  </si>
  <si>
    <t>https://en.wikipedia.org/wiki/Vozrozhdeniya_Island</t>
  </si>
  <si>
    <t>Akarmara, Abkhazia</t>
  </si>
  <si>
    <t xml:space="preserve">Akarmara, Abkhazia </t>
  </si>
  <si>
    <t>Akarmara in Abkhazia is another Soviet-era ghost mining town oozing with decrepit atmosphere. The breakaway region on Georgia’s Black Sea coast was once a holiday destination for wealthy Russians, but in 1992 it entered a devastating 13-month civil war with Georgia and so, like many of its industrial towns, Akarmara was abandoned. Ever-more encroached on by the surrounding forest, the creepy coal mining town lies vacant and more or less forgotten. In its prime Akarmara was home to around 5,000 residents, but the war and economic change led to its inevitable demise. Now its towering apartment blocks are cloaked in foliage, bridges are covered in moss and the shells of car wrecks and discarded baths lie rusting in the street alongside other debris. While it might look completely deserted, it's thought around 38 people still live in the decaying remnants of the run-down mining town.</t>
  </si>
  <si>
    <t>Senegal</t>
  </si>
  <si>
    <t>Kayakoy Ghost Village</t>
  </si>
  <si>
    <t>Kayakoy, Turkey</t>
  </si>
  <si>
    <t>Gate to Hell</t>
  </si>
  <si>
    <t>Gate to Hell, Turkmenistan</t>
  </si>
  <si>
    <t>Sfentyli, Greece</t>
  </si>
  <si>
    <t>Flooded ghost town</t>
  </si>
  <si>
    <t>You may or may not get to see the spooky form of the sunken village of Sfentyli in the island of Crete, depending on the level of the water in the Aposelemis Dam that day. Heavy rainfall in winter sees the streets and buildings submerged while summer causes the water to recede. The dam was constructed in this part of northeastern Crete in 2012 and the villagers forced to vacate their homes. Sometimes Sfentyli's hollow and decrepit buildings appear some distance from the reservoir while at others they teeter right on the water's edge. Then the red tiled roof and white cross of the chapel of Agios Theodoros can be seen emerging ominously from the lake's murky depths. Whatever the water levels, the stranded village of Sfentyli is an eerie sight. Now see the world's most perilous places.</t>
  </si>
  <si>
    <t>Varosha, Cyprus</t>
  </si>
  <si>
    <t>There’s always something unnerving about an out-of-season seaside resort let alone an entirely abandoned one. Varosha, a once lively tourist resort in Cyprus that attracted the likes of Richard Burton, Elizabeth Taylor and Brigitte Bardot with its chi-chi hotels and golden sands, is now more like a post-apocalyptic nightmare than dreamy Mediterranean holiday destination. Varosha lies inside the “forbidden zone” of Famagusta in Cyprus and was sealed off by the Turkish military after the city's 39,000 inhabitants were forced to leave when Turkish forces invaded. After that the island was divided between Greece and Turkey and Varosha was left to its ruin. Set behind barbed wire, empty apartment blocks and hotels line the beachfront in varying states of disrepair. Sun loungers lie strewn on the sands, a sad reminder of the fun times once had. Vegetation invades desolate houses, churches sit empty, piles of rubble and smashed glass lie in the silent streets and swimming pools sit cracked and empty among overgrown gardens. Varosha has remained uninhabited and off-limits to non-military personnel. But in October 2020, Turkish Northern Cyprus controversially reopened the beach, with the Greek government calling on the decision to be reversed and the UN security council asked to address if the move is admissible under international law.</t>
  </si>
  <si>
    <t>Katmai National Park</t>
  </si>
  <si>
    <t>Find the source of the Ganges</t>
  </si>
  <si>
    <t>Gongotri Glacier, India</t>
  </si>
  <si>
    <t>Dhaka Bangladesh</t>
  </si>
  <si>
    <t>Dhaka, Bangladesh</t>
  </si>
  <si>
    <t>Dhaka</t>
  </si>
  <si>
    <t>Dhaka Division</t>
  </si>
  <si>
    <t>Bangladesh</t>
  </si>
  <si>
    <t>Capital of Bangladesh</t>
  </si>
  <si>
    <t>Madain Saleh</t>
  </si>
  <si>
    <t>An archaeological site located in the area of Al-'Ula within Medina Province in the Hejaz, Saudi Arabia. A majority of the remains date from the Nabataean Kingdom.</t>
  </si>
  <si>
    <t>Madain Saleh, Saudi Arabia</t>
  </si>
  <si>
    <t>Chittagong Ship Breaking Yard</t>
  </si>
  <si>
    <t>Faujdarhat, Sitakunda Upazila, Bangladesh</t>
  </si>
  <si>
    <t>Bir Tawil</t>
  </si>
  <si>
    <t>Unclaimed land between Egypt and Sudan</t>
  </si>
  <si>
    <t>Unclaimed Land</t>
  </si>
  <si>
    <t>Bir Tawil (/bɪr tɑːˈwiːl/ (audio speaker iconlisten); Egyptian Arabic: بير طويل, romanized: Bīr Ṭawīl, lit. 'tall water well', [biːɾ tˤɑˈwiːl]) is a 2,060 km2 (795.4 sq mi) area of land along the border between Egypt and Sudan, which is uninhabited and claimed by neither country. When spoken of in association with the neighbouring Halaib Triangle, it is sometimes referred to as the Bir Tawil Triangle, despite the area's quadrilateral shape; the two "triangles" border at a quadripoint.</t>
  </si>
  <si>
    <t>Mecca, Saudi Arabia</t>
  </si>
  <si>
    <t>Only 1% of the US population is allowed to enter the city of Mecca</t>
  </si>
  <si>
    <t>One of the most important cities for the followers of Islam, Mecca is a place where every Muslim is expected to visit at some point in their lifetime. Due to its religious importance, the city is one of the busiest tourist destinations in the world. It is also only open to practicing Muslims, which means only 1% of the American population would be allowed to enter the city.</t>
  </si>
  <si>
    <t>Mecca</t>
  </si>
  <si>
    <t>Makkah Province</t>
  </si>
  <si>
    <t>Saudi Arabia</t>
  </si>
  <si>
    <t>Alang Ship Breaking Yard</t>
  </si>
  <si>
    <t>Ship breaking yard</t>
  </si>
  <si>
    <t>Alang, India</t>
  </si>
  <si>
    <t>Alang</t>
  </si>
  <si>
    <t>Gujarat</t>
  </si>
  <si>
    <t>India</t>
  </si>
  <si>
    <t>Largest ship breaking yard in the world</t>
  </si>
  <si>
    <t>Suakin Island Ruins</t>
  </si>
  <si>
    <t>FOR 3000 YEARS, THE PORT on the island of Suakin was strategically crucial to powerful empires. Located on the Red Sea in Northern Sudan, the former port of Suakin is now a crumbled relic of the wealth that passed through its coral walls from around the world. Ramses III initially developed the port of Suakin during the 10th century B.C.E. At the time, Suakin offered an outlet to the Red Sea for trade and exploration. 1000 years later, as Islam gained followers and spread from the Hijaz region of modern day Saudi Arabia, the port took on new importance and became an outlet for Africans on pilgrimage to Mecca. While Suakin constantly evolved, it remained prosperous throughout its existence, bringing great riches to the shores of Sudan. Local legend tells of a king who operated out of the old city and had 360 wives and lavish quarters in the old city. Stemming from its great wealth, Suakin developed into a rich, gated island port. Every building was made out of stunning coral and the walls were decorated in detailed wood and stone coverings. Suakin was the height of medieval luxury on the Red Sea. During the 19th century, Suakin evolved for the last time, becoming a hub for the slave trade from Eastern Africa. As the slave trade diminished, the port became increasingly unnecessary. By the 1920s, Suakin was falling into complete disrepair. Shallow waters and rough coral had pushed most trade North to Port Sudan and the coral buildings that were once the crown jewel of the port were not maintained and disintegrating. Only ruins of the once great coral city still exist and are carefully guarded as part of the tourism industry. Besides being a tourist destination, the port still serves ferries to the Saudi coast and provides access between the continents for thousands of pilgrims completing the Haj every year.</t>
  </si>
  <si>
    <t>Suakin Island Ruins, Suakin, Sudan</t>
  </si>
  <si>
    <t>Suakin</t>
  </si>
  <si>
    <t>Red Sea</t>
  </si>
  <si>
    <t>Sudan</t>
  </si>
  <si>
    <t>https://www.atlasobscura.com/places/suakin</t>
  </si>
  <si>
    <t>North Sentinel, India</t>
  </si>
  <si>
    <t>North Sentinel is home to the uncontacted Sentinelese tribe</t>
  </si>
  <si>
    <t>One of the forbidden islands of the world, North Sentinel is an Indian archipelago in the Bay of Bengal. Covering an area of 23.04 sq miles, the island is home to the Sentinelese tribe, who have lived there for over 50,000 years in voluntary isolation. The area is strictly off-limits for visitors and protected by the Indian Government. The few people who have managed to reach the island have been met with hostility and violence by the Sentinelese people, who will do anything to protect their land from the outside world.</t>
  </si>
  <si>
    <t>The Church of Our Lady Mary of Zion</t>
  </si>
  <si>
    <t>It is believed that the Church of Our Lady Mary of Zion houses the original Ark of the Covenant</t>
  </si>
  <si>
    <t>According to the Ethiopian Orthodox Church, the original Ark of the Covenant that holds the Ten Commandments is located in a chapel next to the Church of Our Lady Mary of Zion. The holy artifact supposedly made its way to Ethiopia before the Babylonians sacked Jerusalem and is protected only by an elderly high priest who never leaves the churchyard. Despite their continued claims to have the Ark stored away in the catacombs of the Chapel of the Tablet, no one seems to have seen it. The only person who is allowed to see the artifact is the Guardian of the Covenant, the appointed guard of the Ark. This guard must be a virgin and they are chosen by the previous guard prior to their death. Once a guard is chosen, they supposedly cannot leave the chapel, lest the Ark go unguarded. Not even the leader of the Ethiopian church can see the Ark.</t>
  </si>
  <si>
    <t>Deception Island Antactica</t>
  </si>
  <si>
    <t>Considered one of the safest harbors on Antarctica, a famous refuge from storms and icebergs, Deception Island has been coveted—and then deserted—by many nations. The dilapidated shells of buildings, boats and equipment marking the island remain as proof of its productive years as a Norwegian-Chilean whaling station and home of several scientific stations.</t>
  </si>
  <si>
    <t>Deception Island, Antarctica</t>
  </si>
  <si>
    <t>https://www.atlasobscura.com/places/deception-island-2</t>
  </si>
  <si>
    <t>Blood Falls</t>
  </si>
  <si>
    <t>Outflow of an iron oxide-tainted plume of saltwater, flowing from the tongue of Taylor Glacier</t>
  </si>
  <si>
    <t>Blood Falls, Antarctica</t>
  </si>
  <si>
    <t>Antarctica</t>
  </si>
  <si>
    <t>Heard Island, Australia</t>
  </si>
  <si>
    <t>Heard Island is dominated by an active Volcano</t>
  </si>
  <si>
    <t>One of Australia’s two active volcanoes, Big Ben is located on Heard Island. The reasons entry to the island is forbidden are simple: the volcano is frequently active, the island is composed of debris and limestone resulting from the volcanic eruptions, and the Australian government would like to preserve the fragile natural surroundings.</t>
  </si>
  <si>
    <t>Heard Island and McDonald Islands</t>
  </si>
  <si>
    <t>Antipode to my house</t>
  </si>
  <si>
    <t>-47.629380, 57.693130</t>
  </si>
  <si>
    <t>French Southern and Antarctic Lands</t>
  </si>
  <si>
    <t>Neuschwanstein Castle</t>
  </si>
  <si>
    <t>SLEEPING BEAUTY CASTLE AT DISNEYLAND, Cinderella Castle at the Magic Kingdom and numerous other magical castles were all inspired by a real castle: Neuschwanstein Castle, the awe-inspiring retreat of the “fairy-tale king,” Ludwig II of Bavaria. Commissioned by the king in homage to Richard Wagner, the fantastical castle was designed by theatrical set designer Christian Jank. The beautiful design was to further enhance the already romantic mountain and forest scenery. The first stone of Neuschwanstein Castle (which literally means, “New Swan Stone palace”) was laid in September 1869. The technology used to build this castle was considered modern and advanced. New inventions such as electricity, plumbing, heat and steamboats were used in the construction of the castle, and Ludwig himself was considered responsible for the introduction of many of these inventions to the area. In 1886, as the massively expensive castle neared completion, the State Commissioner pronounced Ludwig insane and arrested him soon after. The day after he was arrested, Ludwig requested the Commissioner go on a walk in the woods with him. The commissioner agreed and told his guards to stay behind. Both were found mysteriously dead in a lake later that evening. Ludwig was never able to see the finalized castle—and it didn’t receive its name until after his death—but his taste for elegant, and extravagant, design resonates throughout the interior of the Romanesque-style castle. After his death, the castle was opened for the public to help pay off the expenses. During World War II, the castle was appropriated and used by German forces as a depot to store all of the plundered art from France and other Nazi-occupied countries in Europe. At the close of the war, the Nazis contemplated blowing the castle up with explosives to prevent the encroaching allied forces from discovering the scale of their art looting. However, fortunately, the plan was never implemented. Today, the castle is one of the biggest attractions in Bavaria and manages to draw well over a million people a year. Of particular delight is the Grotto Room, an artificial cave complete with stalactites and a waterfall; it was intended to represent a cave from Wagner’s opera “Tannhauser.” Ironically, Wagner never stepped foot in the castle.</t>
  </si>
  <si>
    <t>Neuschwanstein Castle, Bavaria, Germany</t>
  </si>
  <si>
    <t>https://www.atlasobscura.com/places/neuschwanstein-castle</t>
  </si>
  <si>
    <t>Roman Theatre of Orange</t>
  </si>
  <si>
    <t>Théâtre antique d'Orange</t>
  </si>
  <si>
    <t>https://theatre-antique.com/en/your-visit/</t>
  </si>
  <si>
    <t>https://en.wikipedia.org/wiki/Roman_Theatre_of_Orange</t>
  </si>
  <si>
    <t>5 - Weekend Road Trip Worthy</t>
  </si>
  <si>
    <t>Veronia's Abandonded Mill</t>
  </si>
  <si>
    <t>Vernonia, OR</t>
  </si>
  <si>
    <t>Vernonia</t>
  </si>
  <si>
    <t>Oregon</t>
  </si>
  <si>
    <t>FB Post</t>
  </si>
  <si>
    <t>Part of the movie Ring of Fire was filmed there in 1960/61. They burned the abandoned mill for the movie.</t>
  </si>
  <si>
    <t>Île de l'Est</t>
  </si>
  <si>
    <t>Closest landmass to the Antipode to my house</t>
  </si>
  <si>
    <t>Hilo, Hawaii</t>
  </si>
  <si>
    <t>Pretty Cute Town</t>
  </si>
  <si>
    <t>Hilo</t>
  </si>
  <si>
    <t>Hawaii</t>
  </si>
  <si>
    <t>https://www.esquire.com/lifestyle/g35036575/small-american-town-destinations/?utm_source=facebook_arb&amp;utm_medium=cpm&amp;utm_campaign=arb_fb_esq_m_and_g35036575&amp;fbclid=IwAR3di_cgabySg_heFcy173qLloADUr2bYRBDZ5C-zrbKCdXiF8v1gx-Jusg&amp;slide=44</t>
  </si>
  <si>
    <t>The town of Hilo is nestled along the Big Island's largest harbor and boasts beautiful waterfalls with stellar views. Just south of the tropical retreat is Volcanoes National Park, home to some of the most active volcanoes in the world.</t>
  </si>
  <si>
    <t>Friday Harbor House</t>
  </si>
  <si>
    <t>130 West St, Friday Harbor, WA 98250</t>
  </si>
  <si>
    <t>Friday Harbor</t>
  </si>
  <si>
    <t>https://www.seattlepi.com/lifestyle/food/article/where-to-eat-in-seattle-instead-of-willows-inn-16137018.php</t>
  </si>
  <si>
    <t>https://www.fridayharborhouse.com/</t>
  </si>
  <si>
    <t>Just a short walk up from San Juan Island’s ferry dock, this local classic overlooks its stunning namesake. Chef Jason Aldous – a Willows Inn alum – brings his own creative and ambitious culinary talents to a menu that seems to underuse his expertise. But hiding behind simple dishes like grilled asparagus toast are his pickled maitake mushrooms, the grilled sockeye salmon comes with house-made pasta, and the s’mores brownie featuring cedar with caramelized white chocolate and madrona-smoked marshmallow.</t>
  </si>
  <si>
    <t>Tokeland Hotel</t>
  </si>
  <si>
    <t>2964 Kindred Ave, Tokeland, WA 98590</t>
  </si>
  <si>
    <t>Tokeland</t>
  </si>
  <si>
    <t>https://www.tokelandhotel.com/</t>
  </si>
  <si>
    <t>Reopening on June 1, this Washington coast hotel comes from Heather Earnhardt, who Seattleites know from the beloved, departed Wandering Goose, and her husband, Zac Young, whose dreams of a local smoked fish shop never came to fruition. But now the two combine her passion for Southern hospitality and his seafood savvy at this quaint (bathrooms down the hall) 18-room inn. But the real treat comes from their talents in the kitchen – where they put local seafood and the heirloom roduce from their own farm on the table in dishes like Manila and razor clam chowder, Dungeness crab and Cheddar dip and a fried seafood platter with wild shrimp, local oysters and rockfish, and hushpuppies.</t>
  </si>
  <si>
    <t>Alderbrook</t>
  </si>
  <si>
    <t>Relaxing weekend resort</t>
  </si>
  <si>
    <t>Alderbrook, Union, WA</t>
  </si>
  <si>
    <t>Union</t>
  </si>
  <si>
    <t>Zion Mountain Ranch</t>
  </si>
  <si>
    <t>Cabin style bison ranch with amazing kitchen on the edge of Zion National Park</t>
  </si>
  <si>
    <t>Zion Mountain Ranch, Mt Carmel</t>
  </si>
  <si>
    <t>Summerland - Panhandle Gap</t>
  </si>
  <si>
    <t>Summerland Trail, WA</t>
  </si>
  <si>
    <t>https://www.wta.org/go-hiking/hikes/summerland-panhandle-gap</t>
  </si>
  <si>
    <t>Begin in old-growth forest, climb up to one of Mount Rainier's most spectacular wildflower meadows, then continue along the highest section of the Wonderland Trail to reach the alpine world of Panhandle Gap. Along the way be alert for marmots and goats, and it is not unusual to see a black bear.</t>
  </si>
  <si>
    <t>White Knob Mine and Ghost Town</t>
  </si>
  <si>
    <t>43.899778, -114.686056</t>
  </si>
  <si>
    <t>Yucca Mountain Repository</t>
  </si>
  <si>
    <t>Planned nuclear waste storage place</t>
  </si>
  <si>
    <t>36.8528, -116.4266</t>
  </si>
  <si>
    <t>St. Elmo, Colorado</t>
  </si>
  <si>
    <t>Originally named Forrest City, St. Elmo lies in the heart of the Sawatch Range almost 10,000 feet (3,048m) above sea level. The town peaked in the 1890s when it had a telegraph office, a town hall, five hotels, a number of saloons and dance halls, a newspaper office and a schoolhouse. But by 1922 the biggest mine was closed and the town was abandoned. Though it is considered a ghost town, a handful of residents still live among the old buildings as the town usually survives on tourism. The old mining routes around St. Elmo are now 4X4 adventure trails, and daring visitors are treated to spectacular vistas of the Colorado mountains along the way. The general store is usually open during the summer, and many of the old mining buildings are still intact, making St. Elmo one of the most photogenic ghost towns in the US.</t>
  </si>
  <si>
    <t>Leon Hot Air Balloon Festival</t>
  </si>
  <si>
    <t>Leon, Mexico</t>
  </si>
  <si>
    <t>https://www.hotairballoon.com/International-Hot-Air-Balloon-Festival/</t>
  </si>
  <si>
    <t>Stay in a treehouse at Treehouse Point</t>
  </si>
  <si>
    <t>Treehouse Point, Issaquah, WA</t>
  </si>
  <si>
    <t>Issaquah</t>
  </si>
  <si>
    <t>https://seattle.curbed.com/2018/4/2/17190192/washington-treehouses-near-seattle-rentals</t>
  </si>
  <si>
    <t>Naked Body Surfing</t>
  </si>
  <si>
    <t>Little Beach, Maui</t>
  </si>
  <si>
    <t>Ni’ihau, Hawaii</t>
  </si>
  <si>
    <t>Ni’ihau is known as “The Forbidden Island”</t>
  </si>
  <si>
    <t>Often called “The Forbidden Island,” Ni’ihau is the second-smallest of Hawaii’s main islands. It was bought in 1864 by a woman Elizabeth Sinclair and has been privately owned by the same family since – so very few people get to visit the land. Even royalty and extremely powerful people have to request entry and still get denied. Mick Jagger, for example, was once denied clearance to land his helicopter on the island!</t>
  </si>
  <si>
    <t>The Island of Surtsey</t>
  </si>
  <si>
    <t>The island of Surtsey emerged due to a volcanic eruption</t>
  </si>
  <si>
    <t>In 1963, a volcanic eruption on the Icelandic archipelago of Vestmannæyjar lifted a new island out of the water. Free from human interference, Surtsey was quickly declared a restricted nature reserve so that only researchers are allowed on the island.</t>
  </si>
  <si>
    <t>Iceland</t>
  </si>
  <si>
    <t>North Brother Island, New York City</t>
  </si>
  <si>
    <t>North Brother Island is an abandoned island in the middle of New York City</t>
  </si>
  <si>
    <t>A 20-acre piece of land located in the East River, North Brother Island has been abandoned for over 50 years. Now designated as a sanctuary for water birds, it was once the site of the Riverside Hospital, where contagious diseases were treated and several patients were quarantined – including Mary Mallon (better known as Typhoid Mary). Although public access is strictly prohibited by the New York City Parks Department, researchers and journalists sometimes get permission to visit the island.</t>
  </si>
  <si>
    <t>New York</t>
  </si>
  <si>
    <t>HaliPuu's Campfire Barista</t>
  </si>
  <si>
    <t>Hissitie 8, Sirkka, 99130, Finland</t>
  </si>
  <si>
    <t>Sirkka</t>
  </si>
  <si>
    <t>Rovaniemi's Arctic Circle Border</t>
  </si>
  <si>
    <t>700 Sodankyläntie, Rovaniemi, 96930, Finland</t>
  </si>
  <si>
    <t>Rovaniemi</t>
  </si>
  <si>
    <t xml:space="preserve">Vorkuta </t>
  </si>
  <si>
    <t>Frozen Gulag Ghost Town</t>
  </si>
  <si>
    <t>Vorkuta, Russia</t>
  </si>
  <si>
    <t>Vorkuta</t>
  </si>
  <si>
    <t>Komi Republic</t>
  </si>
  <si>
    <t>Jiangsu National Security Education Museum</t>
  </si>
  <si>
    <t>Only Chinese citizens are allowed in the Jiangsu National Security Education Museum</t>
  </si>
  <si>
    <t>Jiangsu National Security Education Museum, China’s national spy museum, contains several classified documents and equipment used for Chinese spying. For this reason, taking pictures inside the museum is prohibited – just like foreign visitors.</t>
  </si>
  <si>
    <t>Museum</t>
  </si>
  <si>
    <t>Menwith Hill, United Kingdom</t>
  </si>
  <si>
    <t>Menwith Hill is one of the most secretive places in the UK</t>
  </si>
  <si>
    <t>Operated by the United Kingdom and the United States, Royal Air Force Menwith Hill is the largest electronic monitoring station in the world. Besides the extensive satellite ground station, the facility also serves as a communications intercept and missile warning site.</t>
  </si>
  <si>
    <t>Menwith Hill</t>
  </si>
  <si>
    <t>HG3</t>
  </si>
  <si>
    <t>St Ignatius Hospital</t>
  </si>
  <si>
    <t>st ignatius hospital colfax washington</t>
  </si>
  <si>
    <t>Colfax</t>
  </si>
  <si>
    <t>Hudson River State Hospital</t>
  </si>
  <si>
    <t>Formerly known as "Hudson River State Hospital for the Insane"</t>
  </si>
  <si>
    <t>Hudson River State Hospital, Poughkeepsie, New York</t>
  </si>
  <si>
    <t>Poughkeepsie</t>
  </si>
  <si>
    <t>https://www.insider.com/abandoned-places-us-states-2018-4#new-york-hudson-river-state-hospital-in-poughkeepsie-operated-from-1871-until-2003-32</t>
  </si>
  <si>
    <t>Hudson River State Hospital, formerly known as "Hudson River State Hospital for the Insane," was a mental hospital that operated from 1871 until 2003. The facility used straight jackets, electroshock therapy, and lobotomies as methods of treatment for mental illnesses. As talk therapy and psychiatric medications were deemed better options, the 160-acre grounds began to empty and fall into disrepair. Aside from the eerie remnants of medical equipment and holding rooms for the criminally insane, there have been reports of paranormal activity.</t>
  </si>
  <si>
    <t>The Fukushima Exclusion Zone, Japan</t>
  </si>
  <si>
    <t>The Fukushima Exclusion Zone is so radioactive no one is allowed on the premises</t>
  </si>
  <si>
    <t>When the Fukushima nuclear disaster struck Japan in 2011, anyone living within 18 miles of the nuclear plant was urged to immediately evacuate the area. This is the only disaster other than Chernobyl to be considered a Level 7 event on the International Nuclear Event Scale and, due to the extreme radiation in the area, no one is allowed to enter the premises.</t>
  </si>
  <si>
    <t>Franklin County Sugar Co.</t>
  </si>
  <si>
    <t>Franklin County Sugar Co., Preston, ID 83263</t>
  </si>
  <si>
    <t>Preston</t>
  </si>
  <si>
    <t>Idaho</t>
  </si>
  <si>
    <t>Hecla Mill</t>
  </si>
  <si>
    <t>Hecla Mill, Burke, ID</t>
  </si>
  <si>
    <t>Burke</t>
  </si>
  <si>
    <t>Kerry Furnance, Pittsburgh, PA</t>
  </si>
  <si>
    <t>Pittsburgh</t>
  </si>
  <si>
    <t>Old Idaho State Penitentiary</t>
  </si>
  <si>
    <t>Old Idaho State Penitentiary,ID</t>
  </si>
  <si>
    <t>Dildo, Newfoundland, Canada</t>
  </si>
  <si>
    <t>Burke Ghost Town</t>
  </si>
  <si>
    <t>Burke, ID</t>
  </si>
  <si>
    <t>Prattville, Alabama</t>
  </si>
  <si>
    <t>Modern industrial ghost town</t>
  </si>
  <si>
    <t>Prattville</t>
  </si>
  <si>
    <t>Alabama</t>
  </si>
  <si>
    <t>https://www.insider.com/abandoned-places-us-states-2018-4#alabama-the-town-of-prattville-still-exists-today-but-many-of-the-old-factories-and-mills-in-the-area-are-abandoned-and-full-of-rusty-silent-machinery-1</t>
  </si>
  <si>
    <t>Prattville is named for Daniel Pratt, who purchased the land in the 1830s to build a cotton gin factory. Once that became a success, he established other factories to build wagons, blinds, doors, and tins, as well as a flour mill.</t>
  </si>
  <si>
    <t>Abandoned Bunkers of Salpalinja</t>
  </si>
  <si>
    <t>Abandoned bunkers</t>
  </si>
  <si>
    <t>8 Kääriänmäentie, Virolahti, 49980, Finland</t>
  </si>
  <si>
    <t>HavenCo Sea Platform</t>
  </si>
  <si>
    <t>Data-protection company HavenCo was located in the middle of the North Sea</t>
  </si>
  <si>
    <t>Although HavenCo has allegedly shut down, this data-hosting company’s headquarters are too interesting to ignore. The company was located in the North Sea, off the coast of the UK, and the only people allowed in their office were authorized personnel, investors, and members of the Royal family.</t>
  </si>
  <si>
    <t>51.895167, 1.4805</t>
  </si>
  <si>
    <t>Skrunda-1, Latvia</t>
  </si>
  <si>
    <t>Ex Soviet Military Town</t>
  </si>
  <si>
    <t>Skrunda-1</t>
  </si>
  <si>
    <t>Latvia</t>
  </si>
  <si>
    <t>Skundra-1 has been shrouded in mystery since it was first built in 1963. It was one of several secret cities constructed by the Soviet Union for military use during the cold war. Around 93 miles (150km) from Latvia’s capital Riga, Skundra-1 once bustled with its community of around 5,000 military and scientific personnel and civilians. Its early-warning radar systems were there to detect incoming nuclear warheads.</t>
  </si>
  <si>
    <t>Sanguinho, Portugal</t>
  </si>
  <si>
    <t>It's quite a steep trek up to the old lost village of Sanguinho from Faial da Terra on São Miguel in the Azores. The tiny and remote settlement died a death in the 1970s when its population moved elsewhere on the island to be closer to public services such as schools. Others left the far-flung volcanic isles altogether and emigrated to America. Today the remains of around 20 houses and a farm can be seen along the rocky track that goes through the village and onto the waterfall of Salto do Prego. Some houses are being restored.</t>
  </si>
  <si>
    <t>Okanogan Highland Ghost Towns</t>
  </si>
  <si>
    <t xml:space="preserve">This former mining hub holds a surprising abundance of undisturbed relics from the Old West.  </t>
  </si>
  <si>
    <t>Okanogan Highland Ghost Towns, Molson, WA</t>
  </si>
  <si>
    <t>Molson</t>
  </si>
  <si>
    <t>Castle Town Ghost Town</t>
  </si>
  <si>
    <t>Castle Town Ghost Town, Meagher, Montana</t>
  </si>
  <si>
    <t>Castle Town</t>
  </si>
  <si>
    <t>Montana</t>
  </si>
  <si>
    <t>Turruncún, Spain</t>
  </si>
  <si>
    <t>Turruncún</t>
  </si>
  <si>
    <t>La Rioja</t>
  </si>
  <si>
    <t>Spain</t>
  </si>
  <si>
    <t>Clambering up a wooded hill in the Préjano mountain range of La Rioja, the rickety ruins of the little medieval village Turruncún are simultaneously beautiful and melancholy. With no electricity or running water, the isolated village fell into decline in the 1960s and has been uninhabited since the 1970s. Among its atmospheric wrecks, lie the remains of a chapel and cemetery.</t>
  </si>
  <si>
    <t>Rhyolite Ghost Town</t>
  </si>
  <si>
    <t>Ruins of 1905 gold-mining town, Hollywood movie set &amp; now a historic site with art installations.</t>
  </si>
  <si>
    <t xml:space="preserve">Around 120 miles (193km) northwest of Las Vegas, high in the Bullfrog Hills, is Nevada’s best-known Gold Rush ghost town, Rhyolite. Founded in 1905, it was one of several mining camps that popped up around the edges of the Death Valley as thousands of miners and prospectors arrived in the region following a gold discovery. But several crises led to the downfall of Rhyolite: the 1907 San Francisco earthquake and a financial panic later that same year both made it too expensive to prospect gold. By the end of 1910, the mine was operating at a loss and it closed in 1911. Today it’s one of the most-photographed ghost towns in America. Ruins include a railroad depot and the Bottle House, which has thousands of bottles embedded into its walls like a mosaic. The town has also served as a set for several Hollywood pictures like The Island and Six String Samurai. About a dozen buildings or remnants are still standing, including a general store, bank, jail and train station (pictured), and it’s possible to wander in and around most of them. </t>
  </si>
  <si>
    <t>36.9012, -116.8289</t>
  </si>
  <si>
    <t>Esco, Spain</t>
  </si>
  <si>
    <t>Escó, Spain</t>
  </si>
  <si>
    <t>Escó</t>
  </si>
  <si>
    <t>Aragon</t>
  </si>
  <si>
    <t xml:space="preserve">Another village whose fate was sealed by the creation of a dam is Esco in the Zaragoza province of northeastern Spain. Today the deserted old village makes for a forlorn sight, perched on a hill near the Yesa Reservoir with the rugged Sierra de Leyre as a brooding backdrop. Inhabited since the 12th century, the villagers had to abandon their humble homes in 1960 after the surrounding farmland was flooded by the Yesa Dam. A few hardy souls stayed on in the forsaken village but it lies mostly wrecked and neglected, explored by the occasional tourist. It's a bleak but compelling place to roam around: rubble lies strewn across winding alleyways; roofs have collapsed; and broken beams protrude from ramshackle buildings. Windows are shattered, wooden doors are broken and daubed in graffiti, and crumbling façades hint at once-happy homes. The village church of San Miguel still stands, just. </t>
  </si>
  <si>
    <t>Magnitogorsk</t>
  </si>
  <si>
    <t>Magnitogorsk, Russia</t>
  </si>
  <si>
    <t>Chelyabinsk Oblast</t>
  </si>
  <si>
    <t>https://en.wikipedia.org/wiki/Magnitogorsk</t>
  </si>
  <si>
    <t>Soviet Era Steel Town Modeled off of Pittsburgh and Gary</t>
  </si>
  <si>
    <t>Occi, Corsica</t>
  </si>
  <si>
    <t>A lack of water forced the people of Occi, a pretty little hilltop village in Corsica, to leave and set up home elsewhere on the island. Occi was established in the middle ages when people retreated inland to hide away from the dangers of attack on the coastline. However, when the village's source of water dried up the villagers also began to trickle away – it’s said that the last resident left in 1927. Whipped by the wind, the hilltop hamlet has wasted away but in a bleakly beautiful way. Its collapsed stone buildings and remnants of its uneven streets lie on some of Corsica's most popular hiking trails, rewarding walkers with a glimpse into a bygone age. Occi's little chapel has been renovated and holds occasional services. With its elevated position on a rocky promontory, it’s a prime place to take in the old village's spectacular ocean views.</t>
  </si>
  <si>
    <t>Liberland</t>
  </si>
  <si>
    <t>Unclaimed land due to interpretation of the Coratian / Serbian border and current / historic placement of the Danube river</t>
  </si>
  <si>
    <t>45.766667, 18.875</t>
  </si>
  <si>
    <t>Humac, Croatia</t>
  </si>
  <si>
    <t>Humac</t>
  </si>
  <si>
    <t>Split-Dalmatia County</t>
  </si>
  <si>
    <t>Croatia</t>
  </si>
  <si>
    <t>A deserted old shepherds' village that dates back to the 17th century, Humac can be found in the thickly wooded hills of Hvar island, near Jelsa. With its simple stone houses, tiny courtyards, narrow streets and far-reaching views of the coast and beyond to the isle of Brac, it is an atmospheric place for a wander and to get an insight into what rural life was like in this part of Dalmatia. Dried up wells, weather-worn wooden barrels and collapsed stone walls lie scattered around Humac's overgrown lanes. As well as abandoned houses, there’s also the remains of a deserted village church, St John and Paul. The charm of this pastoral enclave has not escaped the notice of tourists and some of the Humac's houses have been restored as holiday accommodation. There is also a delightfully traditional konoba (tavern) just nearby that is open in the summer.</t>
  </si>
  <si>
    <t>Perućica Forest</t>
  </si>
  <si>
    <t>One of the last remaining primeval forests in Europe.</t>
  </si>
  <si>
    <t>Open Pit Mine San Pedro de Atacama</t>
  </si>
  <si>
    <t>Mina de Chuquicamata, Chile</t>
  </si>
  <si>
    <t>Chuquicamata</t>
  </si>
  <si>
    <t>Antofagasta</t>
  </si>
  <si>
    <t>Chile</t>
  </si>
  <si>
    <t>https://en.wikipedia.org/wiki/Chuquicamata</t>
  </si>
  <si>
    <t>The largest open pit copper mine by excavated volume in the world</t>
  </si>
  <si>
    <t>Poggioreale, Italy (Destroyed by Earthquake)</t>
  </si>
  <si>
    <t>Poggioreale, Italy</t>
  </si>
  <si>
    <t>Nature put an abrupt end to everyday life in the ancient village of Poggioreale in southwest Sicily. The Belìce Valley was ravaged by a devastating earthquake in 1968 and Poggioreale was one of four towns that were violently shaken off the map. The inhabitants fled, leaving behind the shattered shell of beautiful old Poggioreale to crumble over the decades. In total, 231 people died in the valley, and 100,000 were left homeless. New towns were eventually built to rehouse the survivors of the disaster. Today this relic of a bygone era has become a tourist attraction with curious visitors coming to stroll around its rubble-strewn alleys, peer in its cracked and collapsed houses and wander into crumbling courtyards as they contemplate the terror that the inhabitants must have felt as the earth shook. Poggioreale's wrecked theatre, cathedral, and bell tower are still visible, along with post office complete with telegraph wires and school with pupils’ scribbles on the chalkboard</t>
  </si>
  <si>
    <t>Tianducheng, China</t>
  </si>
  <si>
    <t>Luxury housing development – 300 ft tall replica of the Eifel tower ... faux france ... the 10,000 spots never got filled up</t>
  </si>
  <si>
    <t>Pluto's Gate, Turkey</t>
  </si>
  <si>
    <t>Once a site dedicated to the Roman god of death, Pluto’s Gate emits enough CO2 to kill anyone within minutes</t>
  </si>
  <si>
    <t>Once dedicated to the Roman god of Death, Pluto, this site is located in the ancient city of Hierapolis, Turkey. When ancient historian Strabo visited the place, he noted, “Any animal that passes inside meets instant death.” It was only in 1965 that scientists realized the concentration of carbon dioxide in the area was extremely high.</t>
  </si>
  <si>
    <t>B-23 'Dragon Bomber' Wreckage</t>
  </si>
  <si>
    <t>45.1589, -115.8413</t>
  </si>
  <si>
    <t>YES</t>
  </si>
  <si>
    <t>https://www.atlasobscura.com/places/b23-dragon-bomber-wreckage</t>
  </si>
  <si>
    <t>Atomic Bank Vault</t>
  </si>
  <si>
    <t>36.7984, -115.9337</t>
  </si>
  <si>
    <t>https://www.atlasobscura.com/places/atomic-bank-vault</t>
  </si>
  <si>
    <t>Atomic Survival Town</t>
  </si>
  <si>
    <t>37.0688, -116.0442</t>
  </si>
  <si>
    <t>Cotton Castle</t>
  </si>
  <si>
    <t>Cotton Castle, Turkey</t>
  </si>
  <si>
    <t>Kayseri</t>
  </si>
  <si>
    <t>Turkey</t>
  </si>
  <si>
    <t>Bengtskar Lighthouse</t>
  </si>
  <si>
    <t>Bengtskär, Rosala, 25950, Finland</t>
  </si>
  <si>
    <t>Burj Al Babas, Turkey</t>
  </si>
  <si>
    <t>Castle themed modern abandonded housing development</t>
  </si>
  <si>
    <t>Like a dystopian Disney movie, images of Turkey’s ghost housing development Burj Al Babas are enough to give you the heebie-jeebies. Hundreds of abandoned princess-castle-like villas line the foot of the Mudurnu hills in a doomed housing development in northwest Turkey. The stricken developers filed for bankruptcy a few years ago after buyers and investors pulled out of purchases due to the economic downturn. Work began on this strange kingdom of faux-castles in 2014 with the chateaux designed as luxury-end holiday homes for wealthy Gulf tourists and foreign buyers looking to invest in the Turkish property market. The resort was also slated to include an entertainment complex, shopping centre, mosque and Turkish baths. But instead, work stalled, building materials lie abandoned on the unfinished streets, and the villas, in varying states of completion, remain unsold and unoccupied.</t>
  </si>
  <si>
    <t>White Sands National Park</t>
  </si>
  <si>
    <t>Kayaköy, Turkey</t>
  </si>
  <si>
    <t>Kayaköy</t>
  </si>
  <si>
    <t>Muğla</t>
  </si>
  <si>
    <t>Tumbling down the slopes of the Taurus mountains in southwestern Turkey, Kayaköy has been deserted since the 1920s. In happier times, it was a flourishing town known as Levissi and home to some 10,000 Christians and Muslims. But in 1923 they were removed from their homes as part of a population exchange that took place in the aftermath of the brutal Greco-Turkish war. The Christians were exiled to Greece, many to Crete. In 1957, a huge earthquake wreaked further hardship on the largely abandoned town but around 350 derelict homes still stand. Now known as Kayaköy, which translates as the Rock Village, the town has museum status ensuring its eerie ruins will be preserved as a reminder of a very recent and turbulent part of European history. It’s possible to walk around Kayaköy's steep and rocky streets and up to the top of the town where the remains of a monastery overlook the vacant shells of the houses and across to the vibrant blue waters of pretty Ölüdeniz bay. Many of Kayaköy's homes, schools, shops, cafés, chapels and churches are still recognisable, albeit rundown and neglected. In Lower Church – one of the town's two remaining religious buildings – it's possible to make out faded murals and arched ceilings, which hint at the beautiful place Kayaköy once was. Eerily, there are also ancient human bones interred inside.</t>
  </si>
  <si>
    <t>Spinalonga, Greece</t>
  </si>
  <si>
    <t>Ex leper colony</t>
  </si>
  <si>
    <t>Bathed in sunlight and lapped by the azure waters of the Aegean, this uninhabited craggy islet off the shores of Crete might look idyllic but it hides an ugly past. From the early 1900s, the 16th-century fortress of Spinalonga was used as a leper colony. Hundreds of sufferers were banished here to live out their lives with reports that there was only a single doctor who visited only sporadically. Shrouded in tales of neglect, the colony remained in operation until 1957 and was Europe’s last leper colony. After a cure was found for leprosy and Spinalonga's last shunned residents returned to health, the decaying fortress was left to crumble and its dark history remained all but forgotten until the 1980s when Victoria Hislop set her popular novel The Island here. Now tourists come from far and wide to wander around the atmospheric ruins and imagine the suffering of the people who were stripped of their rights and exiled on this barren isle. Among its most poignant sights are the so-called Dante’s Gate, one of two fortress gates and the one that was used by leprosy sufferers as they started their new life within this hostile place. The imposing citadel was first built by the Venetians in the 16th century and later added to by the Ottomans in the 18th century. There is a small cemetery on the isle which contains some of the remains of the leprosy sufferers.</t>
  </si>
  <si>
    <t>Ashgabat, Turkmenestan</t>
  </si>
  <si>
    <t>Ashgabat</t>
  </si>
  <si>
    <t>Turkmenistan</t>
  </si>
  <si>
    <t>Heart Reef, Australia</t>
  </si>
  <si>
    <t>Heart Reef can only be seen from above</t>
  </si>
  <si>
    <t>Part of Australia’s Great Barrier Reef, this naturally heart-shaped reef is one of the most photogenic locations in the world – however, it can’t be seen up close. Due to its protected status, it is not allowed to dive or snorkel at Heart Reef, and tourists need to pay for a helicopter or seaplane tour to reach it.</t>
  </si>
  <si>
    <t>Australia</t>
  </si>
  <si>
    <t>Bhangarh Fort, India</t>
  </si>
  <si>
    <t>Bhangarh Fort is the only legally recognized haunted place in India.</t>
  </si>
  <si>
    <t>Built in 1573, the Bhangarh Fort has been abandoned since 1783. Over the years, legends have tried to make sense of the kingdom’s ruin, and one of the myths suggests the fort was cursed. Nowadays, Bhangarh Fort is the only place legally recognized as haunted in India and a government permit is required to enter it before dawn or after sundown.</t>
  </si>
  <si>
    <t>Bhangarh</t>
  </si>
  <si>
    <t>Rajasthan</t>
  </si>
  <si>
    <t>New World Shopping Mall</t>
  </si>
  <si>
    <t>New World Shopping Mall, Thailand</t>
  </si>
  <si>
    <t>Deserted Fish Pond Mall</t>
  </si>
  <si>
    <t>Tangalooma Shipwrecks</t>
  </si>
  <si>
    <t>The history of the Tangalooma Wrecks dates back to the 1960s when boat owners asked for safe anchorage on the island as small boats found it difficult to dock. Their request for a man-made harbour was granted in the form of the Tangalooma Wrecks. Fifteen vessels were deliberately sunk over the next two decades. Over time the shipwrecks have rusted into the skeletons of ships protruding from the turquoise water. The unique formation has become a popular tourist attraction.</t>
  </si>
  <si>
    <t>Tangalooma Shipwrecks, Australia</t>
  </si>
  <si>
    <t>Shipwreck</t>
  </si>
  <si>
    <t>Danakil Depression</t>
  </si>
  <si>
    <t>Danakil Depression, Ethiopia</t>
  </si>
  <si>
    <t>Alice Springs</t>
  </si>
  <si>
    <t>Town in the middle of Australia – supports Pine Gap base</t>
  </si>
  <si>
    <t>Alice Springs, Australia</t>
  </si>
  <si>
    <t>Northern Territory</t>
  </si>
  <si>
    <t>Cape Town</t>
  </si>
  <si>
    <t>Cape Town, South Africa</t>
  </si>
  <si>
    <t>Western Cape</t>
  </si>
  <si>
    <t>South Africa</t>
  </si>
  <si>
    <t>4 - Day Trip Worthy</t>
  </si>
  <si>
    <t>Wallace, ID</t>
  </si>
  <si>
    <t>-</t>
  </si>
  <si>
    <t>Wallace</t>
  </si>
  <si>
    <t>Historic Virginia City</t>
  </si>
  <si>
    <t>Historic Cute Town</t>
  </si>
  <si>
    <t>Historic Virginia City, Virginia City, Montana</t>
  </si>
  <si>
    <t>Virginia City</t>
  </si>
  <si>
    <t>Port Townsend</t>
  </si>
  <si>
    <t>Cute weekend trip town from Seattle</t>
  </si>
  <si>
    <t>Port Townsend, WA</t>
  </si>
  <si>
    <t>https://www.onlyinyourstate.com/washington/weekend-escape-small-towns-in-wa/</t>
  </si>
  <si>
    <t>Port Townsend is a town that almost everyone in Washington knows about. But because of its remote location the tip of the Olympic Peninsula, it's not easily accessible for most Washingtonians. But our Victorian village is a place everyone should see. Not only is it full of delicious dining, Victorian buildings, boutiques, theaters, and bars, it's brimming with local history and a unique character.</t>
  </si>
  <si>
    <t>Leavenworth, Washington</t>
  </si>
  <si>
    <t>Bavarian Themed Town in Washington State</t>
  </si>
  <si>
    <t>Leavenworth</t>
  </si>
  <si>
    <t>https://www.esquire.com/lifestyle/g35036575/small-american-town-destinations/?utm_source=facebook_arb&amp;utm_medium=cpm&amp;utm_campaign=arb_fb_esq_m_and_g35036575&amp;fbclid=IwAR3di_cgabySg_heFcy173qLloADUr2bYRBDZ5C-zrbKCdXiF8v1gx-Jusg&amp;slide=47</t>
  </si>
  <si>
    <t>This town has a Bavarian village feel that makes it a must-visit during Oktoberfest and during the holiday season. Take in spectacular views of the Pacific Northwest on nearby hiking trails or just take it easy with some shopping and wine tasting.</t>
  </si>
  <si>
    <t>Hood River, Oregon</t>
  </si>
  <si>
    <t>Hood River</t>
  </si>
  <si>
    <t>https://www.esquire.com/lifestyle/g35036575/small-american-town-destinations/?utm_source=facebook_arb&amp;utm_medium=cpm&amp;utm_campaign=arb_fb_esq_m_and_g35036575&amp;fbclid=IwAR3di_cgabySg_heFcy173qLloADUr2bYRBDZ5C-zrbKCdXiF8v1gx-Jusg&amp;slide=81</t>
  </si>
  <si>
    <t>During any time of year, this town along the Columbia River offers outdoor activities for adventure seekers, including skiing, wind surfing and mountain biking. After a day outside, you can explore one of the three microbreweries located downtown.</t>
  </si>
  <si>
    <t>Vashon Island</t>
  </si>
  <si>
    <t>Vashon Island, WA</t>
  </si>
  <si>
    <t>Vashon</t>
  </si>
  <si>
    <t>NO</t>
  </si>
  <si>
    <t>We are so lucky to have such a beautiful island a short ferry ride away. But while Bainbridge, Whidbey, and the San Juans stay busy and bustling, you can catch a ferry from West Seattle to Vashon Island and spend a quiet, relaxing weekend on the beach with the locals. Yes, we know this is technically not a town, however, we think it should be added to the list anyway!</t>
  </si>
  <si>
    <t>Ernest Hemingway's Grave</t>
  </si>
  <si>
    <t>Ernest Hemingway's Grave, Ketchum Cemetery, Sun Valley, Idaho</t>
  </si>
  <si>
    <t>Ketchum</t>
  </si>
  <si>
    <t>North Sea Tac Mountain Bike Trails</t>
  </si>
  <si>
    <t>Visit Chief Seattle's Grave</t>
  </si>
  <si>
    <t>Chief Seattle's Grave, WA, USA</t>
  </si>
  <si>
    <t>The World's Most Dangerous Tunnel - the Anzob Tunnel</t>
  </si>
  <si>
    <t>The Anzob Tunnel, Tajikistan</t>
  </si>
  <si>
    <t>Iron Goat Trail Tunnels</t>
  </si>
  <si>
    <t>Iron Goat Trail, WA</t>
  </si>
  <si>
    <t>https://www.wta.org/go-hiking/hikes/iron-goat-trail</t>
  </si>
  <si>
    <t>Chico Hot Springs Giant Chicken</t>
  </si>
  <si>
    <t>Chico Hot Springs Giant Chicken, Pray, Montana</t>
  </si>
  <si>
    <t>Pray</t>
  </si>
  <si>
    <t>https://www.atlasobscura.com/places/giant-chicken-chico-hot-springs</t>
  </si>
  <si>
    <t>The Neon Boneyard</t>
  </si>
  <si>
    <t>The Neon Boneyard, Las Vegas, Nevada</t>
  </si>
  <si>
    <t>Las Vegas</t>
  </si>
  <si>
    <t>Nevada</t>
  </si>
  <si>
    <t>https://www.atlasobscura.com/places/neon-boneyard</t>
  </si>
  <si>
    <t>The Ohio State Reformatory in Mansfied</t>
  </si>
  <si>
    <t>Ex prison where shawshank redemption was filmed</t>
  </si>
  <si>
    <t>The Ohio State Reformatory, Mansfield, Ohio</t>
  </si>
  <si>
    <t>Mansfield</t>
  </si>
  <si>
    <t>Ohio</t>
  </si>
  <si>
    <t>https://www.insider.com/abandoned-places-us-states-2018-4#ohio-the-ohio-state-reformatory-in-mansfield-offers-a-tour-led-by-a-former-prisoner-35</t>
  </si>
  <si>
    <t>The Ohio State Reformatory opened in 1896 and closed in 1990. At its peak in 1955, the facility held 5,235 prisoners. The site now offers tours and ghost hunting classes. It has also been featured in many film and TV productions, most famously "The Shawshank Redemption."</t>
  </si>
  <si>
    <t>Redmond Nike Missle Site</t>
  </si>
  <si>
    <t>Nike Missle Site, Redmond, WA</t>
  </si>
  <si>
    <t>Redmond</t>
  </si>
  <si>
    <t>https://www.historylink.org/file/9711</t>
  </si>
  <si>
    <t>Northern State Hospital</t>
  </si>
  <si>
    <t>48.5319,-122.20477</t>
  </si>
  <si>
    <t>http://www.asylumprojects.org/index.php?title=Northern_State_Hospital</t>
  </si>
  <si>
    <t>Lake Wenatchee</t>
  </si>
  <si>
    <t>Lake Wenatchee, WA</t>
  </si>
  <si>
    <t>Club 33, Disneyland</t>
  </si>
  <si>
    <t>Club 33 is an exclusive club hidden in plain sight in Disneyland</t>
  </si>
  <si>
    <t>Opened in 1967, Club 33 is a private dining club located in Disneyland. Modeled after VIP lounges across the world, the exclusive club allows only members and their guests to enter the premises. Joining the club requires more than just the rumored $25,000 initiation fee, but also an invitation from the Disney power structure.</t>
  </si>
  <si>
    <t>Bohemian Grove</t>
  </si>
  <si>
    <t>Bohemian Grove is a restricted 2700-acre campground belonging to a private gentlemen’s club</t>
  </si>
  <si>
    <t>Founded in 1872, the Bohemian Club is an exclusive gentlemen’s club that owns Bohemian Grove, a 2,700-acre campground in Sonoma County. To enter the campground during the club’s annual retreats, you have to join the group by getting an exclusive invite from existing members and paying a $25,000 initiation fee.</t>
  </si>
  <si>
    <t>Kirwin, Wyoming</t>
  </si>
  <si>
    <t>Kirwin</t>
  </si>
  <si>
    <t>Wyoming</t>
  </si>
  <si>
    <t>https://www.insider.com/abandoned-places-us-states-2018-4#wyoming-much-of-kirwin-was-swept-away-in-1907-50</t>
  </si>
  <si>
    <t>William Kirwin first discovered ore in the area in 1890. Companies hoping to strike it rich flocked to the area and the population of the town of Kirwin grew to 200 people by 1904. A snowslide in 1907 swept away most of the town. What remains sits abandoned at an elevation of 9,200 feet.</t>
  </si>
  <si>
    <t>Gangkhar Puensum, Bhutan</t>
  </si>
  <si>
    <t>Gangkhar Puensum is the highest unclimbed mountain in the world</t>
  </si>
  <si>
    <t>At 24,840 ft, Gangkhar Puensum is the highest unclimbed mountain in the world. Mountain climbing is banned in Bhutan due to the strong spiritual value the local communities attach to the mountains. To them, mountains are the home of the gods and spirits.</t>
  </si>
  <si>
    <t>Barren Island, India</t>
  </si>
  <si>
    <t>Barren Island is home to the only active volcano in India</t>
  </si>
  <si>
    <t>Home to India’s only confirmed volcano, Barren Island is located in the Indian Union Territory of Andaman and Nicobar Islands. Due to the active volcano, visiting the island is strictly prohibited – but it is possible to see it from a distance either by taking a boat or a ferry.</t>
  </si>
  <si>
    <t>Jeffrey City Ghost Town</t>
  </si>
  <si>
    <t xml:space="preserve">This mining town boomed in the Atomic Age when uranium was gold, only to be abandoned when the industry collapsed. </t>
  </si>
  <si>
    <t>Jeffrey City, Wyoming</t>
  </si>
  <si>
    <t>https://www.atlasobscura.com/places/jeffrey-city-ghost-town</t>
  </si>
  <si>
    <t>Monkey Island, South Carolina</t>
  </si>
  <si>
    <t>Morgan Island is known as “Monkey Island”</t>
  </si>
  <si>
    <t>Also known as Monkey Island, South Carolina’s Morgan Island is home to a colony of around 3,500 rhesus monkeys who are naturally infected with Herpes B. Since the virus is deadly to humans, it is strictly prohibited to visit the 4,500-acre sea island. The only people allowed on the island are researchers working for the National Institute of Allergy and Infectious Diseases.</t>
  </si>
  <si>
    <t>Morgan Island, South Carolina</t>
  </si>
  <si>
    <t>Carbon County Railroad &amp; Coke Ovens</t>
  </si>
  <si>
    <t>Carbon County Coke Ovens, Carbon County, Utah</t>
  </si>
  <si>
    <t>Red Zone, France</t>
  </si>
  <si>
    <t>Red Zones are off-limits areas in France saturated with unexploded WWI shells</t>
  </si>
  <si>
    <t>Isolated after World War 1, Red Zones are areas in France where access is forbidden. The land in these areas is saturated with unexploded shells, grenades, and rusty ammunition, and the soil is still polluted by lead, mercury, and arsenic. To this day, some towns are still not allowed to rebuild.</t>
  </si>
  <si>
    <t>Hyde Manor</t>
  </si>
  <si>
    <t>Hyde Manor, Sudbury, Vermont</t>
  </si>
  <si>
    <t>Sudbury</t>
  </si>
  <si>
    <t>Vermont</t>
  </si>
  <si>
    <t>https://www.insider.com/abandoned-places-us-states-2018-4#vermont-hyde-manor-in-sudbury-was-a-resort-hotel-for-wealthy-tourists-in-the-mid-1800s-45</t>
  </si>
  <si>
    <t>Hyde Manor was constructed in 1865 on land that used to house a small joint called Mills Tavern until Pitt Hyde bought it in 1801. The hotel was passed down through the Hyde family until a fire in the 1940s damaged much of the property. It was sold in 1962, operated as "The Top of the Seasons" hotel until 1970, and then closed for good. Today, its sagging, decrepit frame is still standing.</t>
  </si>
  <si>
    <t>Fort Casey</t>
  </si>
  <si>
    <t>Fort Casey, WA</t>
  </si>
  <si>
    <t>https://parks.state.wa.us/505/Fort-Casey</t>
  </si>
  <si>
    <t>Calico, California</t>
  </si>
  <si>
    <t>Unlike Bodie, Calico in California was the largest silver mine in the state. By the late 1800s Calico had over 500 mines and a population of 3,500 people. However, in 1896 the government decided to regulate the price of silver with the Silver Purchase Act. Overnight, the Calico mines became unprofitable and were shut down, leaving Calico a ghost town. Calico is the quintessential Wild West mining town, and it’s easy to imagine gunslingers and sheriffs making their way into the town’s taverns and shops. It’s usually a popular destination with tourists in southern California, particularly around Halloween, when Calico holds an annual Ghost Town haunt where visitors can experience mine tours, gunfight stunt shows and trips on the historic narrow gauge Calico &amp; Odessa Railroad train.</t>
  </si>
  <si>
    <t>Tillamook Rock Light</t>
  </si>
  <si>
    <t>Tillamook Rock Light, Tillamook Head, Oregon</t>
  </si>
  <si>
    <t>https://www.insider.com/abandoned-places-us-states-2018-4#oregon-from-its-construction-to-its-closing-tillamook-rock-light-in-tillamook-head-fielded-one-disaster-after-another-37</t>
  </si>
  <si>
    <t>Four months into its construction in 1880, a storm swept away the workers' tools and provisions. Then in 1881, the ship Lupatia wrecked and sank nearby, killing all 16 crew members. When the lighthouse opened later that year, light keepers' rotations were found to be both physically and mentally taxing due to intense storms and isolation. After earning the nickname "Terrible Tilly," the lighthouse was shut down in 1957 and remains closed to the public.</t>
  </si>
  <si>
    <t>McMansion Ghost Town – Indian Ridge Resort Community</t>
  </si>
  <si>
    <t>A McMansion resort community ghost town</t>
  </si>
  <si>
    <t>10054 State Hwy. 76, Branson West, MO, 65737</t>
  </si>
  <si>
    <t>https://www.onlyinyourstate.com/missouri/indian-ridge-resort-mo/</t>
  </si>
  <si>
    <t>Greenbrier Nuclear Bunker</t>
  </si>
  <si>
    <t>Underneath the Greenbrier Resort lies a nuclear bunker for members of the US Congress</t>
  </si>
  <si>
    <t>Situated on 11,000 acres of land within the forests of West Virginia, the Greenbrier is a luxury resort built in 1913. Besides its 710 guest rooms, 20 restaurants and lounges, 36 retail shops, and over 50 indoor and outdoor activities and sports, the hotel is also the site of an underground bunker built for the U.S. Congress during the Cold War.</t>
  </si>
  <si>
    <t>Shoshone Train Depot</t>
  </si>
  <si>
    <t>304 North Rail St. Shoshone, Idaho 83352</t>
  </si>
  <si>
    <t>Shoshone</t>
  </si>
  <si>
    <t>Eileen Dam</t>
  </si>
  <si>
    <t>Eileen Dam, Moyie Springs, ID 83845</t>
  </si>
  <si>
    <t>Moyie Springs</t>
  </si>
  <si>
    <t>Curtis Creek</t>
  </si>
  <si>
    <t>WWI ship junkyard</t>
  </si>
  <si>
    <t>Curtis Creek, Maryland</t>
  </si>
  <si>
    <t>https://www.insider.com/abandoned-places-us-states-2018-4#maryland-curtis-creek-in-baltimore-is-a-floating-junkyard-20</t>
  </si>
  <si>
    <t>Curtis Creek is a graveyard for unused, unwanted, or wayward ships, mostly from World War I. Freighters, ferries, and barge ships sit rotting in the shallow waters. It's one of many such floating junkyards along Chesapeake Bay. Visitors can launch boats in the Jaws Marina adjacent to the creek to get a close-up view of the disintegrating ships.</t>
  </si>
  <si>
    <t>Iron Mountain, Pennsylvania</t>
  </si>
  <si>
    <t>Iron Mountain is where the most valuable pieces of world history are stored</t>
  </si>
  <si>
    <t>It is 220 feet below the ground in a naturally-protected former limestone mine that some of the world’s most valuable information is stored. The storage facility in Pennsylvania is where the US government keeps priceless historical documents such as Thomas Edison’s patent for the light bulb, the original photograph of Albert Einstein sticking out his tongue and thousands of other pieces of world history.</t>
  </si>
  <si>
    <t>The Arthur G. Dozier School for Boys</t>
  </si>
  <si>
    <t>The Arthur G. Dozier School for Boys, Marriana, Florida</t>
  </si>
  <si>
    <t>https://www.insider.com/abandoned-places-us-states-2018-4#florida-the-arthur-g-dozier-school-for-boys-in-marianna-has-a-dark-past-filled-with-violence-and-abuse-9</t>
  </si>
  <si>
    <t>The school opened in 1900, and during its tenure saw the death of 81 students, many buried in unmarked graves. Former students known as the "White House Boys" tell stories of receiving hundreds of lashes and witnessing other gruesome punishments. A memorial to the suffering of the White House Boys was dedicated in 2008 and it was closed by state authorities in 2011.</t>
  </si>
  <si>
    <t>Chesaw Ghost Town, WA</t>
  </si>
  <si>
    <t>Chesaw, WA 98844</t>
  </si>
  <si>
    <t>Chesaw</t>
  </si>
  <si>
    <t>https://secretseattle.co/fall-weekend-trips/</t>
  </si>
  <si>
    <t>Eastern State Penitentiary</t>
  </si>
  <si>
    <t>Eastern State Penitentiary, Pennsylvania</t>
  </si>
  <si>
    <t>https://www.insider.com/abandoned-places-us-states-2018-4#pennsylvania-the-eastern-state-penitentiary-in-philadelphia-inflicted-torturous-punishments-on-its-inmates-38</t>
  </si>
  <si>
    <t>Eastern State Penitentiary opened in 1829. The prison's philosophy was radical at the time — inmates were kept in strict isolation that was supposed to encourage penitence, hence the name. Famous inmates included Al Capone and "Slick Willie" Sutton. Prisoners' punishments at the penitentiary were gruesome. By 1971, it was closed and totally abandoned. Today, it's a National Historic Landmark and museum.</t>
  </si>
  <si>
    <t>Cross-Florida Ship Canal</t>
  </si>
  <si>
    <t>Ashcroft, Colorado</t>
  </si>
  <si>
    <t>Upon discovering silver in 1880, two prospectors eager to make a quick buck created a Miner’s Protective Association, and within five years, Ashcroft boasted 20 saloons and more than 3,500 residents. But like most mining towns, the silver ran out quickly and by the end of 1885 only 100 residents remained. By the 1930s the Winter Olympics brought a new wave of attention to the area and even plans to build a ski resort, however, the momentum fizzled and Ashcroft has remained a ghost town since 1939. The plans for the ski resort moved about 10 miles north – to an up-and-coming town called Aspen.</t>
  </si>
  <si>
    <t>Ashcroft</t>
  </si>
  <si>
    <t>Colorado</t>
  </si>
  <si>
    <t>Melmont Ghost Town, WA</t>
  </si>
  <si>
    <t>23689 Mowich Lake Rd, Carbonado, WA 98323</t>
  </si>
  <si>
    <t>Carbonado</t>
  </si>
  <si>
    <t>Link</t>
  </si>
  <si>
    <t>https://secretseattle.co/spooky-towns-washington/</t>
  </si>
  <si>
    <t>https://en.wikipedia.org/wiki/Melmont,_Washington</t>
  </si>
  <si>
    <t>Melmont is a ghost town in Pierce County, Washington, USA. The town was founded in 1900 when the Northwest Improvement Company, a subsidiary of Northern Pacific Railway, started the Melmont coal mine</t>
  </si>
  <si>
    <t>Govan Ghost Town</t>
  </si>
  <si>
    <t>Govan, WA</t>
  </si>
  <si>
    <t>Govan</t>
  </si>
  <si>
    <t>http://www.ghosttownsofwashington.com/govan.html</t>
  </si>
  <si>
    <t xml:space="preserve">Govan Schoolhouse – Pretty Photo Framing Opportunities </t>
  </si>
  <si>
    <t>Bodie Ghost Town, WA</t>
  </si>
  <si>
    <t>Bodie, WA</t>
  </si>
  <si>
    <t>Bodie</t>
  </si>
  <si>
    <t>Silver City</t>
  </si>
  <si>
    <t>Established in the 1880s, Silver City was not only a booming gold and silver mining town but also served as the county seat of Owyhee County between 1867 and 1934. At its height, around 2,500 people lived in the town and there were around 75 businesses. Due in part to its remote location and the decline of mining, the population dwindled and today the town has about 70 buildings remaining, most of which are owned by third- or fourth-generation descendants of the original miners. The Idaho Hotel in Silver City was restored and re-opened for visitors in 1972, turning it into a tourist attraction. The town and its buildings are also listed on the National Register of Historic Places.</t>
  </si>
  <si>
    <t>Silver City, ID</t>
  </si>
  <si>
    <t>Elkhorn Ghost Town</t>
  </si>
  <si>
    <t>Elkhorn Ghost Town, Boulder, Montana</t>
  </si>
  <si>
    <t>Boulder</t>
  </si>
  <si>
    <t>Thistle, Utah</t>
  </si>
  <si>
    <t>Mudslide/Flooded Ghost Town</t>
  </si>
  <si>
    <t>Thistle</t>
  </si>
  <si>
    <t>Utah</t>
  </si>
  <si>
    <t>https://www.insider.com/abandoned-places-us-states-2018-4#utah-whatever-is-left-of-the-houses-in-thistle-remains-partially-buried-due-to-a-landslide-44</t>
  </si>
  <si>
    <t>Thistle was established in the Spanish Fork Canyon in 1883 along the Denver and Rio Grande Western Railroad. Then, in 1983, the entire town flooded after a landslide dammed two creeks. It remains an eerie ghost town to this day.</t>
  </si>
  <si>
    <t>Monte Cristo Ghost Town</t>
  </si>
  <si>
    <t>Monte Cristo Trailhead, WA</t>
  </si>
  <si>
    <t>Monte Cristo is a ghost town northwest of Monte Cristo Peak, in eastern Snohomish County in western Washington. The town was active as a mining area for gold and silver from 1889 to 1907, and later became a resort town that operated until 1983.</t>
  </si>
  <si>
    <t>Ross Island Penal Colony</t>
  </si>
  <si>
    <t>Ex convict settlement that was established in 1858 in the remote Andaman Islands</t>
  </si>
  <si>
    <t>Ross Island, India</t>
  </si>
  <si>
    <t>Hirta, Scotland</t>
  </si>
  <si>
    <t>The lonely isle of Hirta is the largest island in the remote St Kilda archipelago, a string of Scottish isles at the far edge of the Outer Hebrides. It’s thought it was settled for some 2,000 years before it was finally abandoned in the 1930s. The hardy community of Hirta, the only island of the four to ever be inhabited, had survived in this harsh place for many hundreds of years but by the late 1800s, increased tourism posed a threat to the islanders’ traditional way of life. Attempts to modernise the island were futile and flimsy houses built at the end of the 19th century could not withstand St Kilda’s merciless weather. Residents began to leave the island and by the 1930s, the last inhabitants left Hirta behind. Now this far-flung ghost town is a heritage site where tourists can wander among its weather-beaten stone houses, old school room and church (pictured) to imagine what life was like on the inhospitable isle. The only signs of life now are the gannets and puffins that line the cliffs, it has the largest seabird colony in this part of the Atlantic, and the hardy Soay breed of sheep that appear in its abandoned cleits (huts).</t>
  </si>
  <si>
    <t>Salla Reindeer Park</t>
  </si>
  <si>
    <t>111 Hautajärventie, Salla, 98900, Finland</t>
  </si>
  <si>
    <t>Salla</t>
  </si>
  <si>
    <t>Posankka Pig Duck Sculpture</t>
  </si>
  <si>
    <t>Turku, 20540, Finland</t>
  </si>
  <si>
    <t>Turku</t>
  </si>
  <si>
    <t>Cahawba, Alabama</t>
  </si>
  <si>
    <t>The first state capital of Alabama from 1820 to 1825, Cahawba (also spelled Cahaba) was located at the confluence of the Alabama and Cahaba Rivers. The capital was moved after a major flood in 1825. The town recovered and reestablished itself as an agricultural hub until after the Civil War where it also served as a prison for Union soldiers. The state legislature moved the county seat to nearby Selma and the town never recovered. The site is now a state historic landmark and tourists can explore the ruins of the former capital city along with its empty streets and cemeteries.</t>
  </si>
  <si>
    <t>Doel, Belgium</t>
  </si>
  <si>
    <t>With its boarded-up shops, deserted homes and empty schools, the small riverside town of Doel near the port of Antwerp is a forlorn sight. The 400-year-old town was controversially targeted for redevelopment in the 1960s under plans to expand Antwerp’s port. But amidst these desolate scenes there are some splashes of creativity: elaborate and colourful murals decorate some of its buildings as the near-abandoned town has become a magnet for graffiti artists. During a prolonged battle most residents were forced to vacate their homes but a determined few stayed put. The village was eventually saved from being demolished in 2016 but it remains largely deserted – it’s thought less than 20 people now live in Doel. Today the down-at-heel village attracts tourists to stalk its eerie end-of-the-world streets and graffiti artists wanting to leave their mark on this slice of decaying urbanity.</t>
  </si>
  <si>
    <t>Atlas E. Missile Site in Greeley</t>
  </si>
  <si>
    <t>Atlas Missle Silo – No Missle</t>
  </si>
  <si>
    <t>Atlas E. Missile Site, Greeley, Colorado</t>
  </si>
  <si>
    <t>Greeley</t>
  </si>
  <si>
    <t>https://www.insider.com/abandoned-places-us-states-2018-4#colorado-the-atlas-e-missile-site-in-greeley-was-one-of-the-first-operational-intercontinental-ballistic-missile-sites-in-the-us-6</t>
  </si>
  <si>
    <t>Titan 1 missiles were the first series of multi-stage Intercontinental Ballistic Missiles that the US used as a deterrent in the Cold War. Titan 1 launching bases were built all over the United States in 1960, but were abandoned in 1965 in favor of more advanced missiles. There are still six former Titan 1 missile complexes in Colorado, according to the Colorado Department of Public Health and Environment.</t>
  </si>
  <si>
    <t>Experimental Breeder Reactor-I</t>
  </si>
  <si>
    <t>Experimental Breeder Reactor-I, Arco, Idaho, USA</t>
  </si>
  <si>
    <t>Arco</t>
  </si>
  <si>
    <t xml:space="preserve">The world's first nuclear power plant is open to visitors looking to role-play a meltdown. </t>
  </si>
  <si>
    <t>Porto Meldenado</t>
  </si>
  <si>
    <t>Puerto Maldonado, Peru</t>
  </si>
  <si>
    <t>Puerto Maldonado</t>
  </si>
  <si>
    <t>Madre de Dios</t>
  </si>
  <si>
    <t>Belchite, Spain</t>
  </si>
  <si>
    <t xml:space="preserve">Belchite, Spain </t>
  </si>
  <si>
    <t>Belchite</t>
  </si>
  <si>
    <t xml:space="preserve">The remains of battle ravaged Belchite stand solemnly in Spain's Zaragoza province, acting as a poignant reminder of the horrors of the Spanish Civil War. The town was almost completely obliterated during a bloody battle over two weeks in 1937, that also claimed the lives of thousands of people. Rather than be demolished, its bullet-hole-ridden buildings, some still with intricately patterned walls and carvings, were left standing as a symbol of the past. Today tourists take to Belchite's rubble-strewn streets on guided tours to learn about this devastating slice of Spanish history. The town was attacked by loyalist Republicans as part of their bid to stop General Franco's nationalists forces advancing further south. While they were successful in destroying the town, and most of its inhabitants, they were ultimately defeated as Franco won the war and continued to rule Spain until 1975. </t>
  </si>
  <si>
    <t>Arch Cape</t>
  </si>
  <si>
    <t>Arch Cape, OR</t>
  </si>
  <si>
    <t>Pravda Brewery</t>
  </si>
  <si>
    <t>Pravda Brewery, Lviv, Ukraine</t>
  </si>
  <si>
    <t>Hurricane Ridge Olympic National Park</t>
  </si>
  <si>
    <t>Hurricane Ridge, WA</t>
  </si>
  <si>
    <t>Old Perithia, Greece</t>
  </si>
  <si>
    <t>The lush Ionian island of Corfu is full of unexpected wonders, but few intrigue as much as Old Perithia, a ramshackle ruin of a mountain village in the north. It was built high in the mountains in the 14th century by a community seeking refuge from pirate attacks. Although, it's thought to be one of the oldest settlements on the island with evidence of human inhabitants since 700 BC. It became a relatively prosperous rural town and was home to around 1,200 people at its peak. Set below Corfu's highest peak Mount Pantokrator, the remote and now heritage-protected village was largely abandoned in the 1960s when most residents moved away from the mountains to be closer to the coast as tourism became a major industry. Surrounded by vines, olive trees and oaks, its houses and churches lay hidden and have fallen into disrepair. However, after a British-Dutch couple fell in love with the forgotten village and opened a charming B&amp;B in three old renovated houses, the ghost town has a new lease of life.</t>
  </si>
  <si>
    <t>Shoshone Falls</t>
  </si>
  <si>
    <t>Shoshone Falls, ID</t>
  </si>
  <si>
    <t>Fly Geyser</t>
  </si>
  <si>
    <t>Fly Geyser, NV</t>
  </si>
  <si>
    <t>Visit the Wreck of the Lady Elizabeth</t>
  </si>
  <si>
    <t>-51.688797, -57.804161</t>
  </si>
  <si>
    <t>The Wreck of the S.S. Kyle</t>
  </si>
  <si>
    <t>S.S. Kyle Newfoundland, Canada</t>
  </si>
  <si>
    <t>Coca-Cola Vault</t>
  </si>
  <si>
    <t>The Coca-Cola vault stores the secret formula for the legendary soda</t>
  </si>
  <si>
    <t>Back in December 2011, the Coca-Cola Company placed the Coca-Cola formula in a highly protected vault on the grounds of the World of Coca-Cola in Atlanta. Although the secret formula is more of a marketing strategy than an actual trade secret, being able to see the original recipe for the iconic drink would be on many people’s bucket lists.</t>
  </si>
  <si>
    <t xml:space="preserve"> 121 Baker St NW, Atlanta, GA 30313</t>
  </si>
  <si>
    <t>Atlanta</t>
  </si>
  <si>
    <t>Georgia</t>
  </si>
  <si>
    <t>Rocas Atoll</t>
  </si>
  <si>
    <t>The Rocas Atoll is so remote that even researchers have difficulty reaching it</t>
  </si>
  <si>
    <t>The only atoll in the South Atlantic Ocean, Rocas Atoll is a wildlife sanctuary. In 2001, it was designated a World Heritage Site by UNESCO due to its importance as a feeding ground for marine life. The reserve is so remote that its islands remain undisturbed by human activities, but also makes it very difficult for researchers to access.</t>
  </si>
  <si>
    <t>Brazil</t>
  </si>
  <si>
    <t>3 - Detour Worthy</t>
  </si>
  <si>
    <t>Bicycle Tree</t>
  </si>
  <si>
    <t>A tree grew around an abandonded bicycle</t>
  </si>
  <si>
    <t>Bicycle Tree, Vashon, WA</t>
  </si>
  <si>
    <t>https://www.roadsideamerica.com/tip/1412</t>
  </si>
  <si>
    <t>Pine Gap</t>
  </si>
  <si>
    <t>NSA Satelite Communications Base</t>
  </si>
  <si>
    <t>Pine Gap Base, Australia</t>
  </si>
  <si>
    <t>Northern State Recreation Area</t>
  </si>
  <si>
    <t>Northern State Recreation Area, WA</t>
  </si>
  <si>
    <t>The Northern State Hospital for the Mentally Ill was established in 1909 on a 700-acre farm. The institution was self-sustaining with its own water reservoir, lumber mill, library, and cemetery. In the 1950s, it reached its capacity with 2,700 patients. The old hospital buildings are off-limits to visitors, but other decaying buildings on the grounds are open and accessible by trails.</t>
  </si>
  <si>
    <t>Bisbee, Arizona</t>
  </si>
  <si>
    <t>Bisbee</t>
  </si>
  <si>
    <t>Arizona</t>
  </si>
  <si>
    <t>https://www.esquire.com/lifestyle/g35036575/small-american-town-destinations/?utm_source=facebook_arb&amp;utm_medium=cpm&amp;utm_campaign=arb_fb_esq_m_and_g35036575&amp;fbclid=IwAR3di_cgabySg_heFcy173qLloADUr2bYRBDZ5C-zrbKCdXiF8v1gx-Jusg&amp;slide=50</t>
  </si>
  <si>
    <t>Back in the day, Bisbee was a major silver and copper mining hub, but now it's a quaint small town home to artists and retirees. With houses on cliffs' edges and a mine cavern that you can still explore, it's pretty picturesque.</t>
  </si>
  <si>
    <t>Eureka Springs, Arkansas</t>
  </si>
  <si>
    <t>Eureka Springs</t>
  </si>
  <si>
    <t>Arkansas</t>
  </si>
  <si>
    <t>https://www.esquire.com/lifestyle/g35036575/small-american-town-destinations/?utm_source=facebook_arb&amp;utm_medium=cpm&amp;utm_campaign=arb_fb_esq_m_and_g35036575&amp;fbclid=IwAR3di_cgabySg_heFcy173qLloADUr2bYRBDZ5C-zrbKCdXiF8v1gx-Jusg&amp;slide=58</t>
  </si>
  <si>
    <t>In the heart of the Ozark Mountains is this charming Victorian village, known for both its Historic District and its natural springs. Turpentine Creek Wildlife Refuge, which is home to big cats, is also in Eureka Springs.</t>
  </si>
  <si>
    <t>War Eagle, Arkansas</t>
  </si>
  <si>
    <t>War Eagle</t>
  </si>
  <si>
    <t>https://www.esquire.com/lifestyle/g35036575/small-american-town-destinations/?utm_source=facebook_arb&amp;utm_medium=cpm&amp;utm_campaign=arb_fb_esq_m_and_g35036575&amp;fbclid=IwAR3di_cgabySg_heFcy173qLloADUr2bYRBDZ5C-zrbKCdXiF8v1gx-Jusg&amp;slide=92</t>
  </si>
  <si>
    <t>The famous War Eagle Mill was built in 1832 and has been destroyed and rebuilt three times, yet it's still in operation today. During the fall, the town hosts an elaborate craft fair that DIY lovers won't want to miss.</t>
  </si>
  <si>
    <t>Kernville, California</t>
  </si>
  <si>
    <t>Kernville</t>
  </si>
  <si>
    <t>https://www.esquire.com/lifestyle/g35036575/small-american-town-destinations/?utm_source=facebook_arb&amp;utm_medium=cpm&amp;utm_campaign=arb_fb_esq_m_and_g35036575&amp;fbclid=IwAR3di_cgabySg_heFcy173qLloADUr2bYRBDZ5C-zrbKCdXiF8v1gx-Jusg&amp;slide=45</t>
  </si>
  <si>
    <t>Not far from Lake Isabella is the perfect place for adventurers to escape. From kayaking and white water rafting, to mountain biking and rock climbing, there are plenty of activities to fulfill any adrenaline-seekers' list. Not to mention, the Downtown has an Old West aesthetic, full of quaint antique shops, boutiques, and restaurants.</t>
  </si>
  <si>
    <t>Capitola, California</t>
  </si>
  <si>
    <t>Capitola</t>
  </si>
  <si>
    <t>https://www.esquire.com/lifestyle/g35036575/small-american-town-destinations/?utm_source=facebook_arb&amp;utm_medium=cpm&amp;utm_campaign=arb_fb_esq_m_and_g35036575&amp;fbclid=IwAR3di_cgabySg_heFcy173qLloADUr2bYRBDZ5C-zrbKCdXiF8v1gx-Jusg&amp;slide=88</t>
  </si>
  <si>
    <t>This bright and vibrant town is a quiet surf destination for some, a trendy place to shop and eat for others and a place where you can fish off of the wharf if you fit somewhere in between.</t>
  </si>
  <si>
    <t>Healdsburg, California</t>
  </si>
  <si>
    <t>Healdsburg</t>
  </si>
  <si>
    <t>https://www.esquire.com/lifestyle/g35036575/small-american-town-destinations/?utm_source=facebook_arb&amp;utm_medium=cpm&amp;utm_campaign=arb_fb_esq_m_and_g35036575&amp;fbclid=IwAR3di_cgabySg_heFcy173qLloADUr2bYRBDZ5C-zrbKCdXiF8v1gx-Jusg&amp;slide=68</t>
  </si>
  <si>
    <t>This northern Sonoma County town is a lesser-known destination for wine tasting, but no less gorgeous. If you've had your fill of pinot, there's still plenty to do, including hiking, biking and even canoeing.</t>
  </si>
  <si>
    <t>Ferndale, California</t>
  </si>
  <si>
    <t>Ferndale</t>
  </si>
  <si>
    <t>https://www.esquire.com/lifestyle/g35036575/small-american-town-destinations/?utm_source=facebook_arb&amp;utm_medium=cpm&amp;utm_campaign=arb_fb_esq_m_and_g35036575&amp;fbclid=IwAR3di_cgabySg_heFcy173qLloADUr2bYRBDZ5C-zrbKCdXiF8v1gx-Jusg&amp;slide=66</t>
  </si>
  <si>
    <t>It makes sense why this city's population of 1,372 people all live within one square mile when you see how lovely it is downtown. It's known as the "Cream City" for its well-preserved Victorian storefronts and homes and will let you escape the daily grind.</t>
  </si>
  <si>
    <t>Trinidad, California</t>
  </si>
  <si>
    <t>Trinidad</t>
  </si>
  <si>
    <t>https://www.esquire.com/lifestyle/g35036575/small-american-town-destinations/?utm_source=facebook_arb&amp;utm_medium=cpm&amp;utm_campaign=arb_fb_esq_m_and_g35036575&amp;fbclid=IwAR3di_cgabySg_heFcy173qLloADUr2bYRBDZ5C-zrbKCdXiF8v1gx-Jusg&amp;slide=54</t>
  </si>
  <si>
    <t>With a population of less than 400 people, calling this town small is an understatement. That said, Trinidad is home to some beautiful public beaches and picturesque offshore rocks, and it has a rich Native American historic heritage.</t>
  </si>
  <si>
    <t>Creede, Colorado</t>
  </si>
  <si>
    <t>Creede</t>
  </si>
  <si>
    <t>https://www.esquire.com/lifestyle/g35036575/small-american-town-destinations/?utm_source=facebook_arb&amp;utm_medium=cpm&amp;utm_campaign=arb_fb_esq_m_and_g35036575&amp;fbclid=IwAR3di_cgabySg_heFcy173qLloADUr2bYRBDZ5C-zrbKCdXiF8v1gx-Jusg&amp;slide=93</t>
  </si>
  <si>
    <t>This historic mining town is like walking into an old western movie. In fact, Johnny Depp shot scenes here for the action western Lone Ranger. The downtown shops and surrounding nature adventures allow you to enjoy a trip that's as busy or quiet as you'd like.</t>
  </si>
  <si>
    <t>Guilford, Connecticut</t>
  </si>
  <si>
    <t>Guilford</t>
  </si>
  <si>
    <t>Connecticut</t>
  </si>
  <si>
    <t>https://www.esquire.com/lifestyle/g35036575/small-american-town-destinations/?utm_source=facebook_arb&amp;utm_medium=cpm&amp;utm_campaign=arb_fb_esq_m_and_g35036575&amp;fbclid=IwAR3di_cgabySg_heFcy173qLloADUr2bYRBDZ5C-zrbKCdXiF8v1gx-Jusg&amp;slide=89</t>
  </si>
  <si>
    <t>This quiet town was first settled in 1639 and is considered to have the third largest collection of historic homes in New England. But even if you're not into history, the shops on the green, local seafood and the peaceful marina are more than worth the trip.</t>
  </si>
  <si>
    <t>Milton, Delaware</t>
  </si>
  <si>
    <t>Milton</t>
  </si>
  <si>
    <t>Delaware</t>
  </si>
  <si>
    <t>https://www.esquire.com/lifestyle/g35036575/small-american-town-destinations/?utm_source=facebook_arb&amp;utm_medium=cpm&amp;utm_campaign=arb_fb_esq_m_and_g35036575&amp;fbclid=IwAR3di_cgabySg_heFcy173qLloADUr2bYRBDZ5C-zrbKCdXiF8v1gx-Jusg&amp;slide=96</t>
  </si>
  <si>
    <t>You don't have to choose between different bodies of water here: It's located on the banks of the Broadkill River and is just a few miles from the Delaware Bay. But some people might find it even more exciting that it's home to the famous Dogfish Head Brewing Company.</t>
  </si>
  <si>
    <t>Perdido Key, Florida</t>
  </si>
  <si>
    <t>Perdido Key</t>
  </si>
  <si>
    <t>Florida</t>
  </si>
  <si>
    <t>https://www.esquire.com/lifestyle/g35036575/small-american-town-destinations/?utm_source=facebook_arb&amp;utm_medium=cpm&amp;utm_campaign=arb_fb_esq_m_and_g35036575&amp;fbclid=IwAR3di_cgabySg_heFcy173qLloADUr2bYRBDZ5C-zrbKCdXiF8v1gx-Jusg&amp;slide=51</t>
  </si>
  <si>
    <t>In this town, you can skip the touristy parts of the state and relax by the (much less crowded) beach. With fishing, boating, snorkeling, multiple golf courses, and more, there's a little something for everyone.</t>
  </si>
  <si>
    <t>Cedar Key, Florida</t>
  </si>
  <si>
    <t>Cedar Key</t>
  </si>
  <si>
    <t>https://www.esquire.com/lifestyle/g35036575/small-american-town-destinations/?utm_source=facebook_arb&amp;utm_medium=cpm&amp;utm_campaign=arb_fb_esq_m_and_g35036575&amp;fbclid=IwAR3di_cgabySg_heFcy173qLloADUr2bYRBDZ5C-zrbKCdXiF8v1gx-Jusg&amp;slide=73</t>
  </si>
  <si>
    <t>This secluded beach community is less about the hustle and bustle and more about small town living. Proof: The restaurant- and buffet-filled streets of the mile-long historic district are filled with bicycles instead of cars.</t>
  </si>
  <si>
    <t>Stuart, Florida</t>
  </si>
  <si>
    <t>Stuart</t>
  </si>
  <si>
    <t>https://www.esquire.com/lifestyle/g35036575/small-american-town-destinations/?utm_source=facebook_arb&amp;utm_medium=cpm&amp;utm_campaign=arb_fb_esq_m_and_g35036575&amp;fbclid=IwAR3di_cgabySg_heFcy173qLloADUr2bYRBDZ5C-zrbKCdXiF8v1gx-Jusg&amp;slide=46</t>
  </si>
  <si>
    <t>Stuart is formally known as the Sailfish Capital of the World, thanks to its close proximity to the St. Lucie River and the Indian River Lagoon. The small town's tropical climate is perfect for snowbirds who enjoy getting away during the bitter winter months, but are looking for a less popular destination.</t>
  </si>
  <si>
    <t>St. Simons Island, Georgia</t>
  </si>
  <si>
    <t>St. Simons Island</t>
  </si>
  <si>
    <t>https://www.esquire.com/lifestyle/g35036575/small-american-town-destinations/?utm_source=facebook_arb&amp;utm_medium=cpm&amp;utm_campaign=arb_fb_esq_m_and_g35036575&amp;fbclid=IwAR3di_cgabySg_heFcy173qLloADUr2bYRBDZ5C-zrbKCdXiF8v1gx-Jusg&amp;slide=49</t>
  </si>
  <si>
    <t>History buffs and beach lovers alike will love this small island town off the Georgia coast. There, you can golf, fish, and visit plenty of historical monuments, and you can't miss climbing to the top of the St. Simons lighthouse to see the view of the entire island.</t>
  </si>
  <si>
    <t>Paia, Hawaii</t>
  </si>
  <si>
    <t>Paia</t>
  </si>
  <si>
    <t>https://www.esquire.com/lifestyle/g35036575/small-american-town-destinations/?utm_source=facebook_arb&amp;utm_medium=cpm&amp;utm_campaign=arb_fb_esq_m_and_g35036575&amp;fbclid=IwAR3di_cgabySg_heFcy173qLloADUr2bYRBDZ5C-zrbKCdXiF8v1gx-Jusg&amp;slide=80</t>
  </si>
  <si>
    <t>This little town is known for offering one of the few remaining traditional island experiences — in fact, it kind of feels like a time warp. The one-stoplight town is vibrant, colorful and offers authentic cuisine.</t>
  </si>
  <si>
    <t>Galena, Illinois</t>
  </si>
  <si>
    <t>Galena</t>
  </si>
  <si>
    <t>Illinois</t>
  </si>
  <si>
    <t>https://www.esquire.com/lifestyle/g35036575/small-american-town-destinations/?utm_source=facebook_arb&amp;utm_medium=cpm&amp;utm_campaign=arb_fb_esq_m_and_g35036575&amp;fbclid=IwAR3di_cgabySg_heFcy173qLloADUr2bYRBDZ5C-zrbKCdXiF8v1gx-Jusg&amp;slide=60</t>
  </si>
  <si>
    <t>The historic charm of this mining town's six-block Main Street will make you feel like you took a time machine to a different decade. After you conquer downtown, must-see attractions include the Old Market House and the Historical Society and Museum.</t>
  </si>
  <si>
    <t>Shipshewana, Indiana</t>
  </si>
  <si>
    <t>Shipshewana</t>
  </si>
  <si>
    <t>Indiana</t>
  </si>
  <si>
    <t>https://www.esquire.com/lifestyle/g35036575/small-american-town-destinations/?utm_source=facebook_arb&amp;utm_medium=cpm&amp;utm_campaign=arb_fb_esq_m_and_g35036575&amp;fbclid=IwAR3di_cgabySg_heFcy173qLloADUr2bYRBDZ5C-zrbKCdXiF8v1gx-Jusg&amp;slide=91</t>
  </si>
  <si>
    <t>This cute town boasts an Amish community and the largest flea market in the country, featuring a whopping 900 booths that cover 100 acres of land. You can munch on treats like sweet corn, while the kids feed animals at the petting zoo.</t>
  </si>
  <si>
    <t>Abilene, Kansas</t>
  </si>
  <si>
    <t>Abilene</t>
  </si>
  <si>
    <t>Kansas</t>
  </si>
  <si>
    <t>https://www.esquire.com/lifestyle/g35036575/small-american-town-destinations/?utm_source=facebook_arb&amp;utm_medium=cpm&amp;utm_campaign=arb_fb_esq_m_and_g35036575&amp;fbclid=IwAR3di_cgabySg_heFcy173qLloADUr2bYRBDZ5C-zrbKCdXiF8v1gx-Jusg&amp;slide=94</t>
  </si>
  <si>
    <t>This town's claim to fame is that President Dwight D. Eisenhower grew up here, which is why they have a library and museum dedicated to him. Another can't-miss attraction is Great Plains Theatre, which used to be a church.</t>
  </si>
  <si>
    <t>Bardstown, Kentucky</t>
  </si>
  <si>
    <t>Bardstown</t>
  </si>
  <si>
    <t>Kentucky</t>
  </si>
  <si>
    <t>https://www.esquire.com/lifestyle/g35036575/small-american-town-destinations/?utm_source=facebook_arb&amp;utm_medium=cpm&amp;utm_campaign=arb_fb_esq_m_and_g35036575&amp;fbclid=IwAR3di_cgabySg_heFcy173qLloADUr2bYRBDZ5C-zrbKCdXiF8v1gx-Jusg&amp;slide=52</t>
  </si>
  <si>
    <t>If you like whiskey, Bardstown is basically a can't-miss stop — you might not be familiar with it, but it is the bourbon capital of the world, after all. It's home to several distilleries, including Jim Beam and Maker's Mark.</t>
  </si>
  <si>
    <t>Natchitoches, Louisiana</t>
  </si>
  <si>
    <t>Natchitoches</t>
  </si>
  <si>
    <t>https://www.esquire.com/lifestyle/g35036575/small-american-town-destinations/?utm_source=facebook_arb&amp;utm_medium=cpm&amp;utm_campaign=arb_fb_esq_m_and_g35036575&amp;fbclid=IwAR3di_cgabySg_heFcy173qLloADUr2bYRBDZ5C-zrbKCdXiF8v1gx-Jusg&amp;slide=83</t>
  </si>
  <si>
    <t>History buffs, you're going to want to visit this town, which is the oldest permanent settlement in the Louisiana Purchase. Today, you can wander around the 33-block district or try one of their famous meat pies.</t>
  </si>
  <si>
    <t>Damariscotta, Maine</t>
  </si>
  <si>
    <t>Damariscotta</t>
  </si>
  <si>
    <t>Maine</t>
  </si>
  <si>
    <t>https://www.esquire.com/lifestyle/g35036575/small-american-town-destinations/?utm_source=facebook_arb&amp;utm_medium=cpm&amp;utm_campaign=arb_fb_esq_m_and_g35036575&amp;fbclid=IwAR3di_cgabySg_heFcy173qLloADUr2bYRBDZ5C-zrbKCdXiF8v1gx-Jusg&amp;slide=59</t>
  </si>
  <si>
    <t>This boating and fishing community located on the salty Damariscotta River will have you wondering why river towns aren't more popular. The shores are lined with oyster shells that historians say are from Native American gatherings 2,500 years ago. Cool, no?</t>
  </si>
  <si>
    <t>Frederick, Maryland</t>
  </si>
  <si>
    <t>Frederick</t>
  </si>
  <si>
    <t>Maryland</t>
  </si>
  <si>
    <t>https://www.esquire.com/lifestyle/g35036575/small-american-town-destinations/?utm_source=facebook_arb&amp;utm_medium=cpm&amp;utm_campaign=arb_fb_esq_m_and_g35036575&amp;fbclid=IwAR3di_cgabySg_heFcy173qLloADUr2bYRBDZ5C-zrbKCdXiF8v1gx-Jusg&amp;slide=75</t>
  </si>
  <si>
    <t>Less than one hour from Washington, D.C. and Baltimore is this small town that's surrounded by mountains, wineries and orchards. Downtown has even been designated as the Arts &amp; Entertainment District, where you can find live music, dancing, you name it.</t>
  </si>
  <si>
    <t>Grand Haven, Michigan</t>
  </si>
  <si>
    <t>Grand Haven</t>
  </si>
  <si>
    <t>Michigan</t>
  </si>
  <si>
    <t>https://www.esquire.com/lifestyle/g35036575/small-american-town-destinations/?utm_source=facebook_arb&amp;utm_medium=cpm&amp;utm_campaign=arb_fb_esq_m_and_g35036575&amp;fbclid=IwAR3di_cgabySg_heFcy173qLloADUr2bYRBDZ5C-zrbKCdXiF8v1gx-Jusg&amp;slide=74</t>
  </si>
  <si>
    <t>Located on the Eastern shore of Lake Michigan and the mouth of the Grand River is this appropriately named town, which offers wine tasting, sand dune riding and an annual Coast Guard Festival at the end of every summer.</t>
  </si>
  <si>
    <t>Lanesboro, Minnesota</t>
  </si>
  <si>
    <t>Lanesboro</t>
  </si>
  <si>
    <t>Minnesota</t>
  </si>
  <si>
    <t>https://www.esquire.com/lifestyle/g35036575/small-american-town-destinations/?utm_source=facebook_arb&amp;utm_medium=cpm&amp;utm_campaign=arb_fb_esq_m_and_g35036575&amp;fbclid=IwAR3di_cgabySg_heFcy173qLloADUr2bYRBDZ5C-zrbKCdXiF8v1gx-Jusg&amp;slide=69</t>
  </si>
  <si>
    <t>Known as the bed and breakfast capital of Minnesota, this small town (the population is just 754!) offers relaxation for couples and outdoor adventures for families in the bluffs of the Root River Valley.</t>
  </si>
  <si>
    <t>Canton, Mississippi</t>
  </si>
  <si>
    <t>Canton</t>
  </si>
  <si>
    <t>Mississippi</t>
  </si>
  <si>
    <t>https://www.esquire.com/lifestyle/g35036575/small-american-town-destinations/?utm_source=facebook_arb&amp;utm_medium=cpm&amp;utm_campaign=arb_fb_esq_m_and_g35036575&amp;fbclid=IwAR3di_cgabySg_heFcy173qLloADUr2bYRBDZ5C-zrbKCdXiF8v1gx-Jusg&amp;slide=97</t>
  </si>
  <si>
    <t>The most popular area of this southern town is the courthouse square, which is full of historic buildings and shopping, including the Canton Flea Market. At night, escape to the east side, which is filled with adorable B&amp;Bs.</t>
  </si>
  <si>
    <t>Ste. Genevieve, Missouri</t>
  </si>
  <si>
    <t>Ste. Genevieve</t>
  </si>
  <si>
    <t>Missouri</t>
  </si>
  <si>
    <t>https://www.esquire.com/lifestyle/g35036575/small-american-town-destinations/?utm_source=facebook_arb&amp;utm_medium=cpm&amp;utm_campaign=arb_fb_esq_m_and_g35036575&amp;fbclid=IwAR3di_cgabySg_heFcy173qLloADUr2bYRBDZ5C-zrbKCdXiF8v1gx-Jusg&amp;slide=85</t>
  </si>
  <si>
    <t>Not all American wine is made in California: This French-influenced town (it was founded by French Canadian colonists) is home to several vineyards, along with its historic cornerstone church that goes by the town's name.</t>
  </si>
  <si>
    <t>Keene, New Hampshire</t>
  </si>
  <si>
    <t>Keene</t>
  </si>
  <si>
    <t>New Hampshire</t>
  </si>
  <si>
    <t>https://www.esquire.com/lifestyle/g35036575/small-american-town-destinations/?utm_source=facebook_arb&amp;utm_medium=cpm&amp;utm_campaign=arb_fb_esq_m_and_g35036575&amp;fbclid=IwAR3di_cgabySg_heFcy173qLloADUr2bYRBDZ5C-zrbKCdXiF8v1gx-Jusg&amp;slide=65</t>
  </si>
  <si>
    <t>Even though downtown Keene is a must-visit destination, the countryside and lakes are the real treasures in this town. Make sure you take a tour of the covered bridges and hike up Mount Monadnock during your stay.</t>
  </si>
  <si>
    <t>Wolfeboro, New Hampshire</t>
  </si>
  <si>
    <t>Wolfeboro</t>
  </si>
  <si>
    <t>https://www.esquire.com/lifestyle/g35036575/small-american-town-destinations/?utm_source=facebook_arb&amp;utm_medium=cpm&amp;utm_campaign=arb_fb_esq_m_and_g35036575&amp;fbclid=IwAR3di_cgabySg_heFcy173qLloADUr2bYRBDZ5C-zrbKCdXiF8v1gx-Jusg&amp;slide=63</t>
  </si>
  <si>
    <t>This town's motto is "The Oldest Summer Resort in America," and its prime location on Lake Winnipesaukee proves why. People from all over New Hampshire, Boston and even Hollywood (Drew Barrymore once visited!) vacation here during warm summer months.</t>
  </si>
  <si>
    <t>Frenchtown, New Jersey</t>
  </si>
  <si>
    <t>Frenchtown</t>
  </si>
  <si>
    <t>New Jersey</t>
  </si>
  <si>
    <t>https://www.esquire.com/lifestyle/g35036575/small-american-town-destinations/?utm_source=facebook_arb&amp;utm_medium=cpm&amp;utm_campaign=arb_fb_esq_m_and_g35036575&amp;fbclid=IwAR3di_cgabySg_heFcy173qLloADUr2bYRBDZ5C-zrbKCdXiF8v1gx-Jusg&amp;slide=53</t>
  </si>
  <si>
    <t>A visit to this charming, serene town might be just what you need. It's a great spot for biking and hiking as well as browsing the local shops. If you visit in July, be sure to check out their Bastille Day festival.</t>
  </si>
  <si>
    <t>Gallup, New Mexico</t>
  </si>
  <si>
    <t>Gallup</t>
  </si>
  <si>
    <t>https://www.esquire.com/lifestyle/g35036575/small-american-town-destinations/?utm_source=facebook_arb&amp;utm_medium=cpm&amp;utm_campaign=arb_fb_esq_m_and_g35036575&amp;fbclid=IwAR3di_cgabySg_heFcy173qLloADUr2bYRBDZ5C-zrbKCdXiF8v1gx-Jusg&amp;slide=79</t>
  </si>
  <si>
    <t>There's a reason this town is known as the Indian jewelry capital of the world: It's rich in Native American culture and the destination embraces it across the board. Another pro tip? The High Desert Trail System is an amazing way to take in the sights by foot.</t>
  </si>
  <si>
    <t>Skaneateles, New York</t>
  </si>
  <si>
    <t>Skaneateles</t>
  </si>
  <si>
    <t>https://www.esquire.com/lifestyle/g35036575/small-american-town-destinations/?utm_source=facebook_arb&amp;utm_medium=cpm&amp;utm_campaign=arb_fb_esq_m_and_g35036575&amp;fbclid=IwAR3di_cgabySg_heFcy173qLloADUr2bYRBDZ5C-zrbKCdXiF8v1gx-Jusg&amp;slide=41</t>
  </si>
  <si>
    <t>This picturesque village is located right on the edge of Skaneateles Lake in Upstate New York. With beautiful and serene surroundings, you can spend the days of summer relaxing in a kayak or hiking the trails. Plus, there are premium shopping outlets not far from town.</t>
  </si>
  <si>
    <t>Corning, New York</t>
  </si>
  <si>
    <t>Corning</t>
  </si>
  <si>
    <t>https://www.esquire.com/lifestyle/g35036575/small-american-town-destinations/?utm_source=facebook_arb&amp;utm_medium=cpm&amp;utm_campaign=arb_fb_esq_m_and_g35036575&amp;fbclid=IwAR3di_cgabySg_heFcy173qLloADUr2bYRBDZ5C-zrbKCdXiF8v1gx-Jusg&amp;slide=64</t>
  </si>
  <si>
    <t>Wineries and breweries: check. Panoramic views of a gorgeous lake: check. Restaurants filled with top-notch food: check. This southern Finger Lakes community offers something for everyone and has become a favorite for destination weddings.</t>
  </si>
  <si>
    <t>Boone, North Carolina</t>
  </si>
  <si>
    <t>Boone</t>
  </si>
  <si>
    <t>North Carolina</t>
  </si>
  <si>
    <t>https://www.esquire.com/lifestyle/g35036575/small-american-town-destinations/?utm_source=facebook_arb&amp;utm_medium=cpm&amp;utm_campaign=arb_fb_esq_m_and_g35036575&amp;fbclid=IwAR3di_cgabySg_heFcy173qLloADUr2bYRBDZ5C-zrbKCdXiF8v1gx-Jusg&amp;slide=95</t>
  </si>
  <si>
    <t>It's appropriate that this town is named after American pioneer Daniel Boone, since most visitors come to hike and explore the local Blue Ridge Mountains. The town is also full of bluegrass musicians and Appalachian storytellers.</t>
  </si>
  <si>
    <t>Put-In-Bay, Ohio</t>
  </si>
  <si>
    <t>Put-in-Bay</t>
  </si>
  <si>
    <t>https://www.esquire.com/lifestyle/g35036575/small-american-town-destinations/?utm_source=facebook_arb&amp;utm_medium=cpm&amp;utm_campaign=arb_fb_esq_m_and_g35036575&amp;fbclid=IwAR3di_cgabySg_heFcy173qLloADUr2bYRBDZ5C-zrbKCdXiF8v1gx-Jusg&amp;slide=55</t>
  </si>
  <si>
    <t>You'll need to take a ferry to make it to this quaint little island, but once you get there, you'll be instantly charmed. Relax at the beach, go sailing, or head to one of its many attractions, like the Antique Car Museum or Butterfly House.</t>
  </si>
  <si>
    <t>Marietta, Ohio</t>
  </si>
  <si>
    <t>Marietta</t>
  </si>
  <si>
    <t>https://www.esquire.com/lifestyle/g35036575/small-american-town-destinations/?utm_source=facebook_arb&amp;utm_medium=cpm&amp;utm_campaign=arb_fb_esq_m_and_g35036575&amp;fbclid=IwAR3di_cgabySg_heFcy173qLloADUr2bYRBDZ5C-zrbKCdXiF8v1gx-Jusg&amp;slide=72</t>
  </si>
  <si>
    <t>Back in the 1700s, when this town was settled, it was named in honor of Marie Antoinette. Today, it's a historic riverboat town that's ideal for families who seek out vacations full of outdoor adventures.</t>
  </si>
  <si>
    <t>Davis, Oklahoma</t>
  </si>
  <si>
    <t>Davis</t>
  </si>
  <si>
    <t>Oklahoma</t>
  </si>
  <si>
    <t>https://www.esquire.com/lifestyle/g35036575/small-american-town-destinations/?utm_source=facebook_arb&amp;utm_medium=cpm&amp;utm_campaign=arb_fb_esq_m_and_g35036575&amp;fbclid=IwAR3di_cgabySg_heFcy173qLloADUr2bYRBDZ5C-zrbKCdXiF8v1gx-Jusg&amp;slide=86</t>
  </si>
  <si>
    <t>There's a reason Turner Falls Park is a favorite swimming hole for locals: It's home to an impressive 77-foot tall waterfall that you can swim underneath. After taking a dip, explore the rock castle that was built into the hillside nearby.</t>
  </si>
  <si>
    <t>Astoria, Oregon</t>
  </si>
  <si>
    <t>Astoria</t>
  </si>
  <si>
    <t>https://www.esquire.com/lifestyle/g35036575/small-american-town-destinations/?utm_source=facebook_arb&amp;utm_medium=cpm&amp;utm_campaign=arb_fb_esq_m_and_g35036575&amp;fbclid=IwAR3di_cgabySg_heFcy173qLloADUr2bYRBDZ5C-zrbKCdXiF8v1gx-Jusg&amp;slide=56</t>
  </si>
  <si>
    <t>Astoria is actually the oldest settlement west of the Rocky Mountains, so if you love history, you'll love exploring this interesting town and its many museums, like the Columbia River Maritime Museum.</t>
  </si>
  <si>
    <t>Cottage Grove, Oregon</t>
  </si>
  <si>
    <t>Cottage Grove</t>
  </si>
  <si>
    <t>https://www.esquire.com/lifestyle/g35036575/small-american-town-destinations/?utm_source=facebook_arb&amp;utm_medium=cpm&amp;utm_campaign=arb_fb_esq_m_and_g35036575&amp;fbclid=IwAR3di_cgabySg_heFcy173qLloADUr2bYRBDZ5C-zrbKCdXiF8v1gx-Jusg&amp;slide=42</t>
  </si>
  <si>
    <t>Known as the "covered-bridge capital," the town offers a trail studded with seven covered bridges that connect the village across rolling hillside and a series of waterfalls and rivers. The delightful setting is home to plenty of great hiking and bicycling spots, as well as several cozy B&amp;B retreats.</t>
  </si>
  <si>
    <t>Jim Thorpe, Pennsylvania</t>
  </si>
  <si>
    <t>Jim Thorpe</t>
  </si>
  <si>
    <t>https://www.esquire.com/lifestyle/g35036575/small-american-town-destinations/?utm_source=facebook_arb&amp;utm_medium=cpm&amp;utm_campaign=arb_fb_esq_m_and_g35036575&amp;fbclid=IwAR3di_cgabySg_heFcy173qLloADUr2bYRBDZ5C-zrbKCdXiF8v1gx-Jusg&amp;slide=87</t>
  </si>
  <si>
    <t>Those rolling hills? That charming architecture? There's a reason this town is known as the "Switzerland of Pennsylvania." Come here if you want to try your hand at white water rafting or hike the day away, then roam the quaint town afterward.</t>
  </si>
  <si>
    <t>Lead, South Dakota</t>
  </si>
  <si>
    <t>Lead</t>
  </si>
  <si>
    <t>South Dakota</t>
  </si>
  <si>
    <t>https://www.esquire.com/lifestyle/g35036575/small-american-town-destinations/?utm_source=facebook_arb&amp;utm_medium=cpm&amp;utm_campaign=arb_fb_esq_m_and_g35036575&amp;fbclid=IwAR3di_cgabySg_heFcy173qLloADUr2bYRBDZ5C-zrbKCdXiF8v1gx-Jusg&amp;slide=90</t>
  </si>
  <si>
    <t>If Mount Rushmore is on your bucket list, skip the bustling Rapid City and stay at this quieter escape instead. It was once a mining town, but has since lost the gold and kept the charm. Visit the Black Hills Mining Museum to gain a deeper appreciation of the town's history.</t>
  </si>
  <si>
    <t>Springdale, Utah</t>
  </si>
  <si>
    <t>Springdale</t>
  </si>
  <si>
    <t>https://www.esquire.com/lifestyle/g35036575/small-american-town-destinations/?utm_source=facebook_arb&amp;utm_medium=cpm&amp;utm_campaign=arb_fb_esq_m_and_g35036575&amp;fbclid=IwAR3di_cgabySg_heFcy173qLloADUr2bYRBDZ5C-zrbKCdXiF8v1gx-Jusg&amp;slide=43</t>
  </si>
  <si>
    <t>Right at the edge of Zion National Park sits a small village where visitors can soak up the breathtaking mountain-scape as they enjoy dining at the local brewery or shopping at one of the many crystal and geode shops.</t>
  </si>
  <si>
    <t>Dorset, Vermont</t>
  </si>
  <si>
    <t>Dorset</t>
  </si>
  <si>
    <t>https://www.esquire.com/lifestyle/g35036575/small-american-town-destinations/?utm_source=facebook_arb&amp;utm_medium=cpm&amp;utm_campaign=arb_fb_esq_m_and_g35036575&amp;fbclid=IwAR3di_cgabySg_heFcy173qLloADUr2bYRBDZ5C-zrbKCdXiF8v1gx-Jusg&amp;slide=57</t>
  </si>
  <si>
    <t>For a peaceful visit, head to this quiet town and enjoy beautiful walking trails and an abundance of maple trees. Take a wildlife tour, head to a local music festival, or even check out a museum, like the American Museum of Fly Fishing.</t>
  </si>
  <si>
    <t>Shelburne, Vermont</t>
  </si>
  <si>
    <t>Shelburne</t>
  </si>
  <si>
    <t>https://www.esquire.com/lifestyle/g35036575/small-american-town-destinations/?utm_source=facebook_arb&amp;utm_medium=cpm&amp;utm_campaign=arb_fb_esq_m_and_g35036575&amp;fbclid=IwAR3di_cgabySg_heFcy173qLloADUr2bYRBDZ5C-zrbKCdXiF8v1gx-Jusg&amp;slide=76</t>
  </si>
  <si>
    <t>Along the shores of Lake Champlain is this quiet town that's most famous for Shelburne Farms, a series of barns where people can milk cows and watch cheesemakers make cheddars.</t>
  </si>
  <si>
    <t>Damascus, Virginia</t>
  </si>
  <si>
    <t>Damascus</t>
  </si>
  <si>
    <t>Virginia</t>
  </si>
  <si>
    <t>https://www.esquire.com/lifestyle/g35036575/small-american-town-destinations/?utm_source=facebook_arb&amp;utm_medium=cpm&amp;utm_campaign=arb_fb_esq_m_and_g35036575&amp;fbclid=IwAR3di_cgabySg_heFcy173qLloADUr2bYRBDZ5C-zrbKCdXiF8v1gx-Jusg&amp;slide=77</t>
  </si>
  <si>
    <t>Nestled in the Blue Ridge Mountains of Virginia is this small town (we're talking a population of 814 people) that is known as "Trail Town." Hikers and bikers seek it out since it's at the cross roads of some of the most beautiful trails in the state.</t>
  </si>
  <si>
    <t>La Conner</t>
  </si>
  <si>
    <t>La Conner, WA</t>
  </si>
  <si>
    <t>If you've ever been to the Skagit Valley Tulip Festival, you've probably spent some time in La Conner. But it's actually a perfect place to spend a nice, relaxing weekend. For a small town, there are a lot of fantastic restaurants here, not to mention the museums, antique shops, and wine tasting on patios overlooking the Swinomish Channel.</t>
  </si>
  <si>
    <t>Stevenson</t>
  </si>
  <si>
    <t>Stevenson, WA</t>
  </si>
  <si>
    <t>If you've never driven along the Washington side of the Columbia River Gorge, make this the year you make that magical road trip. There are several charming little towns along the highway but Stevenson, in particular, has shops, tasty restaurants, and breweries right on the Columbia. Pamper yourself with a stay at the luxurious Skamania Lodge.</t>
  </si>
  <si>
    <t>Roslyn</t>
  </si>
  <si>
    <t>Roslyn, WA</t>
  </si>
  <si>
    <t>Roslyn was once known for being the location where the quirky 90s show Northern Exposure was filmed. Of course, the area's history goes back much, much further, and walking around this slow-paced historic town feels like stepping back in time. Book a stay at Hotel Roslyn, enjoy a meal at The Brick, and go for a tasting at Heritage Distilling.</t>
  </si>
  <si>
    <t>Dayton</t>
  </si>
  <si>
    <t>Dayton, WA</t>
  </si>
  <si>
    <t>While you've no doubt heard of our favorite wine city, Walla Walla, plenty of Washingtonians are unaware of the neighboring town of Dayton. This tiny town is absolutely beautiful, and it's full of historic buildings like this Historic Depot. Book a stay at the Weinhard Hotel, a Victorian-era gem, and spend the weekend exploring.</t>
  </si>
  <si>
    <t>Harpers Ferry, West Virginia</t>
  </si>
  <si>
    <t>Harpers Ferry</t>
  </si>
  <si>
    <t>West Virginia</t>
  </si>
  <si>
    <t>https://www.esquire.com/lifestyle/g35036575/small-american-town-destinations/?utm_source=facebook_arb&amp;utm_medium=cpm&amp;utm_campaign=arb_fb_esq_m_and_g35036575&amp;fbclid=IwAR3di_cgabySg_heFcy173qLloADUr2bYRBDZ5C-zrbKCdXiF8v1gx-Jusg&amp;slide=48</t>
  </si>
  <si>
    <t>This tiny town is located on the Shenandoah River and the ideal getaway for nature lovers. There are eight (yes, eight) national parks and heritage sites to visit in the area.</t>
  </si>
  <si>
    <t>Franklin, Tennessee</t>
  </si>
  <si>
    <t>Franklin</t>
  </si>
  <si>
    <t>Tennessee</t>
  </si>
  <si>
    <t>https://www.esquire.com/lifestyle/g35036575/small-american-town-destinations/?utm_source=facebook_arb&amp;utm_medium=cpm&amp;utm_campaign=arb_fb_esq_m_and_g35036575&amp;fbclid=IwAR3di_cgabySg_heFcy173qLloADUr2bYRBDZ5C-zrbKCdXiF8v1gx-Jusg&amp;slide=67</t>
  </si>
  <si>
    <t>About 21 miles south of Nashville is a much quieter downtown experience that still offers tons of culture. Wind your way through antique shops and restaurants, then catch a live show at one of their award-winning venues, like The Franklin Theatre.</t>
  </si>
  <si>
    <t>Pella, Iowa</t>
  </si>
  <si>
    <t>Pella</t>
  </si>
  <si>
    <t>Iowa</t>
  </si>
  <si>
    <t>https://www.esquire.com/lifestyle/g35036575/small-american-town-destinations/?utm_source=facebook_arb&amp;utm_medium=cpm&amp;utm_campaign=arb_fb_esq_m_and_g35036575&amp;fbclid=IwAR3di_cgabySg_heFcy173qLloADUr2bYRBDZ5C-zrbKCdXiF8v1gx-Jusg&amp;slide=61</t>
  </si>
  <si>
    <t>Even though this midwest town is quaint and quiet during the majority of the year, it totally transforms in May for the annual Tulip Time Festival. To honor their dutch culture, they transform the streets into the Netherlands and host an epic parade.</t>
  </si>
  <si>
    <t>Berlin, Maryland</t>
  </si>
  <si>
    <t>Berlin</t>
  </si>
  <si>
    <t>https://www.esquire.com/lifestyle/g35036575/small-american-town-destinations/?utm_source=facebook_arb&amp;utm_medium=cpm&amp;utm_campaign=arb_fb_esq_m_and_g35036575&amp;fbclid=IwAR3di_cgabySg_heFcy173qLloADUr2bYRBDZ5C-zrbKCdXiF8v1gx-Jusg&amp;slide=84</t>
  </si>
  <si>
    <t>If you need proof that this quaint town is Hollywood-approved, both Runaway Bride and Tuck Everlasting were filmed here. And it's not surprising why: Strolling the streets and visiting the antique shops instantly make you forget what year it is. (In a good way.)</t>
  </si>
  <si>
    <t>Little Compton, Rhode Island</t>
  </si>
  <si>
    <t>Little Compton</t>
  </si>
  <si>
    <t>Rhode Island</t>
  </si>
  <si>
    <t>https://www.esquire.com/lifestyle/g35036575/small-american-town-destinations/?utm_source=facebook_arb&amp;utm_medium=cpm&amp;utm_campaign=arb_fb_esq_m_and_g35036575&amp;fbclid=IwAR3di_cgabySg_heFcy173qLloADUr2bYRBDZ5C-zrbKCdXiF8v1gx-Jusg&amp;slide=70</t>
  </si>
  <si>
    <t>This fishing town originally belonged to the Sakonnet tribe, but today it's known as Rhode Island's secret coast. It's a favorite place for locals to escape to the beach, take in local artwork or grab a lobster roll.</t>
  </si>
  <si>
    <t>Fredericksburg, Texas</t>
  </si>
  <si>
    <t>Fredericksburg</t>
  </si>
  <si>
    <t>Texas</t>
  </si>
  <si>
    <t>https://www.esquire.com/lifestyle/g35036575/small-american-town-destinations/?utm_source=facebook_arb&amp;utm_medium=cpm&amp;utm_campaign=arb_fb_esq_m_and_g35036575&amp;fbclid=IwAR3di_cgabySg_heFcy173qLloADUr2bYRBDZ5C-zrbKCdXiF8v1gx-Jusg&amp;slide=78</t>
  </si>
  <si>
    <t>This small town has surprising German roots and old-time residents even refer to it as Fritztown. But the Magic Mile (a shopping scene with more than 150 stores) and some of the best wine tasting in Texas are what keeps the tourists coming back.</t>
  </si>
  <si>
    <t>Winthrop</t>
  </si>
  <si>
    <t>Winthrop, WA</t>
  </si>
  <si>
    <t>All it takes is one visit to Washington's favorite Old West town to fall in love with it. The Methow Valley is incredibly scenic, and there's enough year-round outdoor recreation to keep you busy in the best way. Of course, relaxing on the patio of the Old Schoolhouse Brewery is an equally wonderful way to pass the time.</t>
  </si>
  <si>
    <t>Welch, West Virginia</t>
  </si>
  <si>
    <t>Welch</t>
  </si>
  <si>
    <t>https://www.esquire.com/lifestyle/g35036575/small-american-town-destinations/?utm_source=facebook_arb&amp;utm_medium=cpm&amp;utm_campaign=arb_fb_esq_m_and_g35036575&amp;fbclid=IwAR3di_cgabySg_heFcy173qLloADUr2bYRBDZ5C-zrbKCdXiF8v1gx-Jusg&amp;slide=62</t>
  </si>
  <si>
    <t>This town used to be all about coal mining, but today it's rich in history thanks to the Kimball War Memorial. We recommend grabbing a bite and sitting next to the Elkhorn Creek that flows through the town and into the Tug Fort.</t>
  </si>
  <si>
    <t>Serenbe, Georgia</t>
  </si>
  <si>
    <t>https://www.esquire.com/lifestyle/g35036575/small-american-town-destinations/?utm_source=facebook_arb&amp;utm_medium=cpm&amp;utm_campaign=arb_fb_esq_m_and_g35036575&amp;fbclid=IwAR3di_cgabySg_heFcy173qLloADUr2bYRBDZ5C-zrbKCdXiF8v1gx-Jusg&amp;slide=98</t>
  </si>
  <si>
    <t>The beauty of this urban town is that it's located in the middle of rural country and is full of farm-to-table restaurants, shopping and miles of trails. More than anything, the community of 400 prioritizes living a slower, happier pace of life.</t>
  </si>
  <si>
    <t>Woods Hole, Massachusetts</t>
  </si>
  <si>
    <t>https://www.esquire.com/lifestyle/g35036575/small-american-town-destinations/?utm_source=facebook_arb&amp;utm_medium=cpm&amp;utm_campaign=arb_fb_esq_m_and_g35036575&amp;fbclid=IwAR3di_cgabySg_heFcy173qLloADUr2bYRBDZ5C-zrbKCdXiF8v1gx-Jusg&amp;slide=71</t>
  </si>
  <si>
    <t>On Cape Cod is this tiny, bustling town that was once a pass-through destination for Martha's Vineyard ferry travelers. Now it holds its own thanks to a waterfront filled with restaurants and shopping.</t>
  </si>
  <si>
    <t>Granite Ghost Town</t>
  </si>
  <si>
    <t>Granite Ghost Town, Philipsburg, Montana</t>
  </si>
  <si>
    <t>Philipsburg</t>
  </si>
  <si>
    <t>Satsop Nuclear Plant</t>
  </si>
  <si>
    <t>Satsop Nuclear Plant, WA</t>
  </si>
  <si>
    <t>http://clui.org/ludb/site/satsop-nuclear-plant</t>
  </si>
  <si>
    <t>Mountain Home Titan Missile Silo</t>
  </si>
  <si>
    <t>Abandonded Titan Missile Silo – basically nothing there – now hazardous waste storage facility</t>
  </si>
  <si>
    <t>Mountain Home Titan Missile Silo, ID</t>
  </si>
  <si>
    <t>Mountain Home</t>
  </si>
  <si>
    <t>http://www.themilitarystandard.com/missile/titan1/silo/569-a.php</t>
  </si>
  <si>
    <t>Big Idaho Potato Hotel</t>
  </si>
  <si>
    <t>Big Idaho Potato Hotel, Boise, Idaho</t>
  </si>
  <si>
    <t>Boise</t>
  </si>
  <si>
    <t>I-70 Glenwood Canyon</t>
  </si>
  <si>
    <t>Beautiful Canyon Drive</t>
  </si>
  <si>
    <t>Point Defiance</t>
  </si>
  <si>
    <t>Point Defiance, Tacoma, WA</t>
  </si>
  <si>
    <t>Park</t>
  </si>
  <si>
    <t>Tacoma</t>
  </si>
  <si>
    <t>Wreck of the Peter Iredale</t>
  </si>
  <si>
    <t>Wikipedia</t>
  </si>
  <si>
    <t>Pravcicka Brana</t>
  </si>
  <si>
    <t>Pravcicka Brana, the biggest sandstone arch in Europe, can collapse at any point</t>
  </si>
  <si>
    <t>Pravcicka Brana is a natural sandstone arch located in the Czech Republic. Considered one of the most well-known landmarks of the country and the biggest sandstone arch in the European continent, it was visited by thousands of tourists from all over the world until 1982. Since then, visitors have been restricted from getting too close to the arch due to geologists’ fear that Pravcicka Brana would collapse.</t>
  </si>
  <si>
    <t>Albion State Normal School</t>
  </si>
  <si>
    <t>Albion State Normal School, ID</t>
  </si>
  <si>
    <t>Albion</t>
  </si>
  <si>
    <t>Döllersheim, Austria</t>
  </si>
  <si>
    <t>Döllersheim</t>
  </si>
  <si>
    <t>Lower Austria</t>
  </si>
  <si>
    <t>Austria</t>
  </si>
  <si>
    <t>When Nazi Germany annexed Austria in 1938, Adolf Hitler ordered the compulsory evacuation of Döllersheim. A large Nazi military training area was established in this small town in the north of Austria and its houses bombed in 1941 as a part of a training exercise. Intriguingly, the Nazi leader had ties to the town: his father Alois was born in the area and Döllersheim parish was where he had his birth registry altered to legitimise his birth, naming his stepfather Johann Georg Hiedler as his birth father and changing his surname to Hitler. The grave of Hitler’s paternal grandmother, Maria, is also in the village. After Nazi Germany lost the war, the training ground was seized by the Soviet Army and has remained a military exclusion zone, now under the rule of Austrian Armed Forces, ever since. Visitors are permitted to visit the remains of the town’s main square, as well as the ghostly ruins of some of the churches and surrounding graveyards.</t>
  </si>
  <si>
    <t>Cairo, Illinois</t>
  </si>
  <si>
    <t>A once-booming Mississippi River port town, Cairo has become a scary ghost town. The town boomed along with the steamboat industry, however, it's been on the decline ever since. Today, a walk through the main street is eerily quiet with most buildings boarded up and businesses shut. The town has also had a fair share of racial tensions, as the steamboat boom brought a migration of African Americans to Cairo looking for work. When the shipping and ferrying industries declined, jobs grew scarce leaving the downtown area abandoned.</t>
  </si>
  <si>
    <t>Cairo</t>
  </si>
  <si>
    <t>The Place Amelia Earhart Took Off On Her Last Flight</t>
  </si>
  <si>
    <t>Earhart Road, Harbour Grace, NL</t>
  </si>
  <si>
    <t>2 - Stop If On Route</t>
  </si>
  <si>
    <t>Clown Motel</t>
  </si>
  <si>
    <t>521 N Main Street,Tonopah, Nevada, 89049, United States</t>
  </si>
  <si>
    <t>Tonopah</t>
  </si>
  <si>
    <t>J N K Train Cars</t>
  </si>
  <si>
    <t>J N K Train Cars, Port Townsend, WA</t>
  </si>
  <si>
    <t>https://maps.roadtrippers.com/us/port-townsend-wa/food-drink/j-n-k-train-cars</t>
  </si>
  <si>
    <t>Ghost Ship Hotel of Koh Chang</t>
  </si>
  <si>
    <t>Abandonded Ghost Ship Resort</t>
  </si>
  <si>
    <t>11 3 หมู่ 3 Ban Khlong Son Rd, Tambon Koh Chang Tai, Ko Chang District, Trat 23170, Thailand</t>
  </si>
  <si>
    <t>Tambon Ko Chang</t>
  </si>
  <si>
    <t>Chang Wat Trat</t>
  </si>
  <si>
    <t>Thailand</t>
  </si>
  <si>
    <t>https://hungrybackpack.com/abandoned-cruise-ship-koh-chang/</t>
  </si>
  <si>
    <t>‘graveyard’ of British red phone boxes</t>
  </si>
  <si>
    <t>A bunch of British red phone boxes which are being refurbished</t>
  </si>
  <si>
    <t>Unicorn Restorations, Surrey, UK</t>
  </si>
  <si>
    <t>Merstham</t>
  </si>
  <si>
    <t>RH1 3ER</t>
  </si>
  <si>
    <t>https://chilloutmind.com/2022/03/23/incredible-graveyard-of-british-red-phone-boxes-tucked-away-next-to-surrey-railway-line/</t>
  </si>
  <si>
    <t>The Granite Mountain Records Vault, Utah</t>
  </si>
  <si>
    <t>The Mormon Church’s secret vault contains the world’s largest collection of genealogical records</t>
  </si>
  <si>
    <t>Housed in a secure vault in the mountains near Salt Lake City are 3.5 billion images that make up the world’s largest collection of genealogical records. The Granite Mountain Records Vault is 65,000 square feet and protected by nuclear-blast-resistant entrance doors weighing 14 tons each.</t>
  </si>
  <si>
    <t>Lasaux Cave</t>
  </si>
  <si>
    <t>The Lascaux Cave contains 17,000-year-old wall paintings</t>
  </si>
  <si>
    <t>Rediscovered in 1940, Lascaux is a network of caves in France that contains over 600 pre-historical wall paintings. Representing typical animals from the local fauna at the time like cattle, stags, and bison, the paintings are estimated at around 17,000 years old. For conservation purposes, the cave has been closed to the general public since 1963.</t>
  </si>
  <si>
    <t>Metro-2, Russia</t>
  </si>
  <si>
    <t>Metro-2 is a secret underground metro system in Moscow used only by government officials</t>
  </si>
  <si>
    <t>Built during the time of Stalin’s leadership, Metro-2 is a secret underground transport system that allegedly connects administrative institutions in Moscow. These tunnels reportedly include apartments and technical rooms, and were possibly built as a secret escape route for high-level officials during the war. Today, only one Metro-2 line is confirmed to exist and access to it is strictly forbidden.</t>
  </si>
  <si>
    <t>Mezhgorye, Russia</t>
  </si>
  <si>
    <t>Mezhgorye is Russia’s own Area 51</t>
  </si>
  <si>
    <t>Suspected to be the location of a nuclear program, Mezhgorye is a closed town in Russia. It was in the 1990s that US spy photographs first spotted the facility, which is also said to be a secret bunker in case of war. The facility is believed to cover over 380 sq miles and be able to house around 60,000 people in case of a nuclear, chemical, or biological attack.</t>
  </si>
  <si>
    <t>Poveglia, Italy</t>
  </si>
  <si>
    <t>Poveglia is a real-life version of Shutter Island</t>
  </si>
  <si>
    <t>A small island located outside Venice in Northern Italy, Poveglia was once a quarantine station for those suffering from the plague. A century later, the island became home to a mental institution where patients had to endure unspeakable types of treatments. Today, the area is considered haunted and off-limits for locals and tourists alike.</t>
  </si>
  <si>
    <t>Uluru, Australia</t>
  </si>
  <si>
    <t>Uluru has only been off-limits to the public since 2019</t>
  </si>
  <si>
    <t>It was only in October 2019 that Uluru, Australia’s landmark formerly known as Ayers Rock, closed to the public. Although climbers had been scaling the rock formation for decades, the area was a sacred place for indigenous people for much longer. Finally, following petitions from the Pitjantjatjara people, the park banned tourists from climbing the iconic rock.</t>
  </si>
  <si>
    <t>Snake Island, Brazil</t>
  </si>
  <si>
    <t>Snake Island is home to some of the deadliest serpents on the planet</t>
  </si>
  <si>
    <t>Critically endangered, golden lanceheads are one of the most venomous snakes in the world. Their only natural home is Ilha da Queimada Grande, also known as Snake Island, off the coast of Brazil. The 106-acre island is home to 4,000 golden lanceheads and illegal to visit. Preventing tourists from visiting protects not only the vipers but also people’s lives.</t>
  </si>
  <si>
    <t>Albatross Island, Tasmania</t>
  </si>
  <si>
    <t>Albatross Island is a nature reserve where birds can live and mate without human interference</t>
  </si>
  <si>
    <t>Part of the Hunter Island Group in Tasmania, Albatross Island is a nature reserve known for its breeding colony of 10,000 shy albatross birds. The albatross population on the island makes up about 40% of the world population of the species.</t>
  </si>
  <si>
    <t>The Mount Weather Emergency Operations Center</t>
  </si>
  <si>
    <t>The Mount Weather Emergency Operations Center was a secret government facility until a plane crashed nearby in 1974</t>
  </si>
  <si>
    <t>Located in Virginia, the Mount Weather Emergency Operations Center is a civilian command facility where military officials and members of Congress would hide in case of a national disaster. It was only in 1974 that the existence of this emergency center was discovered when a plane crashed near the site. The 564-acre facility also serves as an alternate site for the US Department of Homeland Security Operations.</t>
  </si>
  <si>
    <t>Diego Garcia Island</t>
  </si>
  <si>
    <t>Once inhabited by 2000 people, Diego Garcia Island is now a UK &amp; US Military Base</t>
  </si>
  <si>
    <t>Located just south of the equator in the middle of the Indian Ocean, Diego Garcia is a small island part of the British Indian Ocean Territory. In 1973, the 2000 inhabitants of the island were evicted by the United Kingdom to build a joint American and British military base. Today, entry to the island is restricted and clearance by the U.S. Navy Support Facility Diego Garcia is required.</t>
  </si>
  <si>
    <t>Khara-Koto</t>
  </si>
  <si>
    <t>is an abandoned city in the Ejin Banner of Alxa League in western Inner Mongolia, China, near the Juyan Lake Basin. Built in 1032.</t>
  </si>
  <si>
    <t>Khara-Khoto (Chinese: 黑水城; Mongolian: Khar Khot; "black city")[1] is an abandoned city in the Ejin Banner of Alxa League in western Inner Mongolia, China, near the Juyan Lake Basin. Built in 1032, the city thrived under the rule of the Western Xia dynasty. It has been identified as the city of Etzina, which appears in The Travels of Marco Polo, and Ejin Banner is named after this city.</t>
  </si>
  <si>
    <t>Entry Count</t>
  </si>
  <si>
    <t>State</t>
  </si>
  <si>
    <t>Description</t>
  </si>
  <si>
    <t>GhostTowns.com</t>
  </si>
  <si>
    <t>List of Ghost Towns Around USA and Canada</t>
  </si>
  <si>
    <t>53 Things to do in Alaska</t>
  </si>
  <si>
    <t>https://lindaontherun.com/towns-in-alaska/</t>
  </si>
  <si>
    <t>13 Most Picturesque Towns In Alaska You Must Visit</t>
  </si>
  <si>
    <t>10 Places That Have Been Reclaimed By Nature</t>
  </si>
  <si>
    <t>10 Must-See Abandoned Places in Washington</t>
  </si>
  <si>
    <t>7 Small Towns In Washington That Are Full Of Charm And Perfect For A Weekend Escape</t>
  </si>
  <si>
    <t>https://www.roughguides.com/articles/ghost-town-humberstone-chile/</t>
  </si>
  <si>
    <t>Atacama Ghost Towns</t>
  </si>
  <si>
    <t>https://www.atlasobscura.com/places?page=2&amp;sort=likes_count</t>
  </si>
  <si>
    <t>Atlas Obscura – Most Popular</t>
  </si>
  <si>
    <t>https://whc.unesco.org/en/list/</t>
  </si>
  <si>
    <t>Unesco World Heritage List</t>
  </si>
  <si>
    <t>Category</t>
  </si>
  <si>
    <t>Bering Air</t>
  </si>
  <si>
    <t>Air Travel</t>
  </si>
  <si>
    <t>https://www.beringair.com/flight-schedule/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</si>
</sst>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yyyy-mm-dd"/>
    <numFmt numFmtId="166" formatCode="yyyy-mm"/>
    <numFmt numFmtId="167" formatCode="yyyy-m"/>
  </numFmts>
  <fonts count="19">
    <font>
      <sz val="10.0"/>
      <color rgb="FF000000"/>
      <name val="Arial"/>
      <scheme val="minor"/>
    </font>
    <font>
      <b/>
      <color theme="1"/>
      <name val="Arial"/>
      <scheme val="minor"/>
    </font>
    <font>
      <color theme="1"/>
      <name val="Arial"/>
      <scheme val="minor"/>
    </font>
    <font>
      <u/>
      <color rgb="FF0000FF"/>
      <name val="Arial"/>
    </font>
    <font>
      <color theme="1"/>
      <name val="Arial"/>
    </font>
    <font>
      <u/>
      <color rgb="FF0000FF"/>
    </font>
    <font>
      <b/>
      <color theme="1"/>
      <name val="Arial"/>
    </font>
    <font>
      <u/>
      <color rgb="FF1155CC"/>
      <name val="Arial"/>
      <scheme val="minor"/>
    </font>
    <font>
      <u/>
      <color rgb="FF1155CC"/>
    </font>
    <font>
      <u/>
      <color rgb="FF0000FF"/>
    </font>
    <font>
      <color rgb="FF3C4043"/>
      <name val="Roboto"/>
    </font>
    <font>
      <b/>
      <sz val="10.0"/>
      <color theme="1"/>
      <name val="Arial"/>
      <scheme val="minor"/>
    </font>
    <font>
      <color rgb="FF000000"/>
      <name val="Arial"/>
    </font>
    <font>
      <color rgb="FF000000"/>
      <name val="&quot;Google Sans&quot;"/>
    </font>
    <font>
      <color rgb="FF000000"/>
      <name val="Roboto"/>
    </font>
    <font>
      <sz val="10.0"/>
      <color rgb="FF000000"/>
      <name val="Arial"/>
    </font>
    <font>
      <b/>
      <color rgb="FFFFFFFF"/>
      <name val="Arial"/>
      <scheme val="minor"/>
    </font>
    <font>
      <b/>
      <color theme="0"/>
      <name val="Arial"/>
      <scheme val="minor"/>
    </font>
    <font>
      <color rgb="FF000000"/>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
      <patternFill patternType="solid">
        <fgColor rgb="FF000000"/>
        <bgColor rgb="FF000000"/>
      </patternFill>
    </fill>
    <fill>
      <patternFill patternType="solid">
        <fgColor theme="1"/>
        <bgColor theme="1"/>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right"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3" numFmtId="0" xfId="0" applyAlignment="1" applyFill="1" applyFont="1">
      <alignment horizontal="right" readingOrder="0" vertical="bottom"/>
    </xf>
    <xf borderId="0" fillId="3" fontId="4" numFmtId="0" xfId="0" applyAlignment="1" applyFill="1" applyFont="1">
      <alignment horizontal="right" vertical="bottom"/>
    </xf>
    <xf borderId="0" fillId="2" fontId="4" numFmtId="0" xfId="0" applyAlignment="1" applyFont="1">
      <alignment horizontal="right" vertical="bottom"/>
    </xf>
    <xf borderId="0" fillId="2" fontId="4" numFmtId="0" xfId="0" applyAlignment="1" applyFont="1">
      <alignment horizontal="center" vertical="bottom"/>
    </xf>
    <xf borderId="0" fillId="2" fontId="4" numFmtId="0" xfId="0" applyAlignment="1" applyFont="1">
      <alignment horizontal="right" readingOrder="0" vertical="bottom"/>
    </xf>
    <xf borderId="0" fillId="4" fontId="4" numFmtId="164" xfId="0" applyAlignment="1" applyFill="1" applyFont="1" applyNumberFormat="1">
      <alignment vertical="bottom"/>
    </xf>
    <xf borderId="0" fillId="4" fontId="4" numFmtId="46" xfId="0" applyAlignment="1" applyFont="1" applyNumberFormat="1">
      <alignment vertical="bottom"/>
    </xf>
    <xf borderId="0" fillId="0" fontId="4" numFmtId="2" xfId="0" applyAlignment="1" applyFont="1" applyNumberFormat="1">
      <alignment horizontal="center" vertical="bottom"/>
    </xf>
    <xf borderId="0" fillId="0" fontId="5" numFmtId="0" xfId="0" applyAlignment="1" applyFont="1">
      <alignment readingOrder="0"/>
    </xf>
    <xf borderId="0" fillId="3" fontId="4" numFmtId="0" xfId="0" applyAlignment="1" applyFont="1">
      <alignment horizontal="right" readingOrder="0" vertical="bottom"/>
    </xf>
    <xf borderId="0" fillId="4" fontId="4" numFmtId="164" xfId="0" applyAlignment="1" applyFont="1" applyNumberFormat="1">
      <alignment horizontal="right" readingOrder="0" vertical="bottom"/>
    </xf>
    <xf borderId="0" fillId="4" fontId="4" numFmtId="46" xfId="0" applyAlignment="1" applyFont="1" applyNumberFormat="1">
      <alignment horizontal="right" readingOrder="0" vertical="bottom"/>
    </xf>
    <xf borderId="0" fillId="0" fontId="4" numFmtId="2" xfId="0" applyAlignment="1" applyFont="1" applyNumberFormat="1">
      <alignment horizontal="center" readingOrder="0" vertical="bottom"/>
    </xf>
    <xf borderId="0" fillId="4" fontId="4" numFmtId="164" xfId="0" applyAlignment="1" applyFont="1" applyNumberFormat="1">
      <alignment readingOrder="0" vertical="bottom"/>
    </xf>
    <xf borderId="0" fillId="4" fontId="4" numFmtId="0" xfId="0" applyAlignment="1" applyFont="1">
      <alignment readingOrder="0" vertical="bottom"/>
    </xf>
    <xf borderId="0" fillId="0" fontId="2" numFmtId="165" xfId="0" applyAlignment="1" applyFont="1" applyNumberFormat="1">
      <alignment readingOrder="0"/>
    </xf>
    <xf borderId="0" fillId="4" fontId="6" numFmtId="164" xfId="0" applyAlignment="1" applyFont="1" applyNumberFormat="1">
      <alignment readingOrder="0" vertical="bottom"/>
    </xf>
    <xf borderId="0" fillId="4" fontId="6" numFmtId="0" xfId="0" applyAlignment="1" applyFont="1">
      <alignment readingOrder="0" vertical="bottom"/>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4" fontId="6" numFmtId="0" xfId="0" applyAlignment="1" applyFont="1">
      <alignment horizontal="right" readingOrder="0" vertical="bottom"/>
    </xf>
    <xf borderId="0" fillId="0" fontId="4" numFmtId="0" xfId="0" applyAlignment="1" applyFont="1">
      <alignment vertical="bottom"/>
    </xf>
    <xf borderId="0" fillId="0" fontId="6" numFmtId="0" xfId="0" applyAlignment="1" applyFont="1">
      <alignment readingOrder="0" vertical="bottom"/>
    </xf>
    <xf borderId="0" fillId="3" fontId="10" numFmtId="0" xfId="0" applyAlignment="1" applyFont="1">
      <alignment horizontal="left" readingOrder="0"/>
    </xf>
    <xf borderId="0" fillId="0" fontId="2" numFmtId="166" xfId="0" applyAlignment="1" applyFont="1" applyNumberFormat="1">
      <alignment readingOrder="0"/>
    </xf>
    <xf borderId="0" fillId="4" fontId="4" numFmtId="46" xfId="0" applyAlignment="1" applyFont="1" applyNumberFormat="1">
      <alignment readingOrder="0" vertical="bottom"/>
    </xf>
    <xf borderId="0" fillId="0" fontId="4" numFmtId="0" xfId="0" applyAlignment="1" applyFont="1">
      <alignment readingOrder="0" vertical="bottom"/>
    </xf>
    <xf borderId="0" fillId="0" fontId="11" numFmtId="0" xfId="0" applyAlignment="1" applyFont="1">
      <alignment readingOrder="0"/>
    </xf>
    <xf borderId="0" fillId="3" fontId="12" numFmtId="0" xfId="0" applyAlignment="1" applyFont="1">
      <alignment horizontal="left" readingOrder="0"/>
    </xf>
    <xf borderId="0" fillId="4" fontId="4" numFmtId="0" xfId="0" applyAlignment="1" applyFont="1">
      <alignment horizontal="right" readingOrder="0" vertical="bottom"/>
    </xf>
    <xf borderId="0" fillId="0" fontId="2" numFmtId="0" xfId="0" applyAlignment="1" applyFont="1">
      <alignment horizontal="right" readingOrder="0"/>
    </xf>
    <xf borderId="0" fillId="0" fontId="4" numFmtId="0" xfId="0" applyAlignment="1" applyFont="1">
      <alignment vertical="bottom"/>
    </xf>
    <xf borderId="0" fillId="5" fontId="6" numFmtId="0" xfId="0" applyAlignment="1" applyFill="1" applyFont="1">
      <alignment vertical="bottom"/>
    </xf>
    <xf borderId="0" fillId="0" fontId="2" numFmtId="167" xfId="0" applyAlignment="1" applyFont="1" applyNumberFormat="1">
      <alignment readingOrder="0"/>
    </xf>
    <xf borderId="0" fillId="3" fontId="13" numFmtId="0" xfId="0" applyAlignment="1" applyFont="1">
      <alignment horizontal="left" readingOrder="0"/>
    </xf>
    <xf borderId="0" fillId="3" fontId="14" numFmtId="0" xfId="0" applyAlignment="1" applyFont="1">
      <alignment horizontal="left" readingOrder="0"/>
    </xf>
    <xf borderId="0" fillId="0" fontId="2" numFmtId="0" xfId="0" applyAlignment="1" applyFont="1">
      <alignment horizontal="center"/>
    </xf>
    <xf borderId="0" fillId="0" fontId="2" numFmtId="46" xfId="0" applyFont="1" applyNumberFormat="1"/>
    <xf borderId="0" fillId="0" fontId="2" numFmtId="0" xfId="0" applyAlignment="1" applyFont="1">
      <alignment horizontal="right"/>
    </xf>
    <xf borderId="0" fillId="0" fontId="2" numFmtId="0" xfId="0" applyFont="1"/>
    <xf borderId="0" fillId="3" fontId="15" numFmtId="0" xfId="0" applyFont="1"/>
    <xf borderId="0" fillId="6" fontId="16" numFmtId="0" xfId="0" applyAlignment="1" applyFill="1" applyFont="1">
      <alignment readingOrder="0"/>
    </xf>
    <xf borderId="0" fillId="7" fontId="17" numFmtId="0" xfId="0" applyAlignment="1" applyFill="1" applyFont="1">
      <alignment readingOrder="0"/>
    </xf>
    <xf borderId="0" fillId="0" fontId="18" numFmtId="0" xfId="0" applyAlignment="1" applyFont="1">
      <alignment readingOrder="0"/>
    </xf>
  </cellXfs>
  <cellStyles count="1">
    <cellStyle xfId="0" name="Normal" builtinId="0"/>
  </cellStyles>
  <dxfs count="7">
    <dxf>
      <font>
        <b/>
      </font>
      <fill>
        <patternFill patternType="solid">
          <fgColor rgb="FFEFEFEF"/>
          <bgColor rgb="FFEFEFEF"/>
        </patternFill>
      </fill>
      <border/>
    </dxf>
    <dxf>
      <font>
        <b/>
      </font>
      <fill>
        <patternFill patternType="solid">
          <fgColor rgb="FFD9D9D9"/>
          <bgColor rgb="FFD9D9D9"/>
        </patternFill>
      </fill>
      <border/>
    </dxf>
    <dxf>
      <font>
        <b/>
      </font>
      <fill>
        <patternFill patternType="solid">
          <fgColor rgb="FFF4C7C3"/>
          <bgColor rgb="FFF4C7C3"/>
        </patternFill>
      </fill>
      <border/>
    </dxf>
    <dxf>
      <font>
        <b/>
      </font>
      <fill>
        <patternFill patternType="solid">
          <fgColor rgb="FFB7E1CD"/>
          <bgColor rgb="FFB7E1CD"/>
        </patternFill>
      </fill>
      <border/>
    </dxf>
    <dxf>
      <font>
        <b/>
      </font>
      <fill>
        <patternFill patternType="solid">
          <fgColor rgb="FFFCE8B2"/>
          <bgColor rgb="FFFCE8B2"/>
        </patternFill>
      </fill>
      <border/>
    </dxf>
    <dxf>
      <font>
        <b/>
      </font>
      <fill>
        <patternFill patternType="solid">
          <fgColor rgb="FFF3F3F3"/>
          <bgColor rgb="FFF3F3F3"/>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gazine.lensvid.com/article/fb/1318327108/mysterious-places-in-the-world-that-are-off-limits-to-everyone-and-why/" TargetMode="External"/><Relationship Id="rId190" Type="http://schemas.openxmlformats.org/officeDocument/2006/relationships/hyperlink" Target="https://go.redirectingat.com/?id=74968X1525077&amp;xs=1&amp;url=https%3A%2F%2Fwww.tripadvisor.com%2FHotel_Review-g35174-d113606-Reviews-Inn_at_Serenbe-Palmetto_Georgia.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a7586b56-6d33-4ded-a4db-9d0babc70f70%5Bproduct_retailer_id%7C" TargetMode="External"/><Relationship Id="rId42" Type="http://schemas.openxmlformats.org/officeDocument/2006/relationships/hyperlink" Target="https://www.hanford.gov/" TargetMode="External"/><Relationship Id="rId41" Type="http://schemas.openxmlformats.org/officeDocument/2006/relationships/hyperlink" Target="https://www.youtube.com/watch?v=iR4Wc3fdpKw" TargetMode="External"/><Relationship Id="rId44" Type="http://schemas.openxmlformats.org/officeDocument/2006/relationships/hyperlink" Target="https://www.youtube.com/watch?v=Qk_gx3CmACY" TargetMode="External"/><Relationship Id="rId194" Type="http://schemas.openxmlformats.org/officeDocument/2006/relationships/hyperlink" Target="http://www.themilitarystandard.com/missile/titan1/silo/569-a.php" TargetMode="External"/><Relationship Id="rId43" Type="http://schemas.openxmlformats.org/officeDocument/2006/relationships/hyperlink" Target="https://www.thrillist.com/lifestyle/seattle/abandoned-places-in-washington-to-explore" TargetMode="External"/><Relationship Id="rId193" Type="http://schemas.openxmlformats.org/officeDocument/2006/relationships/hyperlink" Target="https://www.thrillist.com/lifestyle/seattle/abandoned-places-in-washington-to-explore" TargetMode="External"/><Relationship Id="rId46" Type="http://schemas.openxmlformats.org/officeDocument/2006/relationships/hyperlink" Target="https://www.youtube.com/watch?v=Qk_gx3CmACY" TargetMode="External"/><Relationship Id="rId192" Type="http://schemas.openxmlformats.org/officeDocument/2006/relationships/hyperlink" Target="http://clui.org/ludb/site/satsop-nuclear-plant" TargetMode="External"/><Relationship Id="rId45" Type="http://schemas.openxmlformats.org/officeDocument/2006/relationships/hyperlink" Target="https://en.wikipedia.org/wiki/Vozrozhdeniya_Island" TargetMode="External"/><Relationship Id="rId191" Type="http://schemas.openxmlformats.org/officeDocument/2006/relationships/hyperlink" Target="https://go.redirectingat.com/?id=74968X1525077&amp;xs=1&amp;url=https%3A%2F%2Fwww.tripadvisor.com%2FTourism-g41950-Woods_Hole_Falmouth_Cape_Cod_Massachusetts-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d4a95ac-a405-414d-8419-a95924e3783f%5Bproduct_retailer_id%7C" TargetMode="External"/><Relationship Id="rId48" Type="http://schemas.openxmlformats.org/officeDocument/2006/relationships/hyperlink" Target="https://magazine.lensvid.com/article/fb/1318327108/mysterious-places-in-the-world-that-are-off-limits-to-everyone-and-why/" TargetMode="External"/><Relationship Id="rId187" Type="http://schemas.openxmlformats.org/officeDocument/2006/relationships/hyperlink" Target="https://go.redirectingat.com/?id=74968X1525077&amp;xs=1&amp;url=https%3A%2F%2Fwww.tripadvisor.com%2FTourism-g55863-Fredericksburg_Texas-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d1800ae-c4d8-44d3-95bd-6f940250638d%5Bproduct_retailer_id%7C" TargetMode="External"/><Relationship Id="rId47" Type="http://schemas.openxmlformats.org/officeDocument/2006/relationships/hyperlink" Target="https://www.youtube.com/watch?v=sSIlZcEWyqg" TargetMode="External"/><Relationship Id="rId186" Type="http://schemas.openxmlformats.org/officeDocument/2006/relationships/hyperlink" Target="https://go.redirectingat.com/?id=74968X1525077&amp;xs=1&amp;url=https%3A%2F%2Fwww.tripadvisor.com%2FTourism-g54092-Little_Compton_Rhode_Island-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00d31cd3-14c7-4a12-9d6a-1ddce0455a4d%5Bproduct_retailer_id%7C" TargetMode="External"/><Relationship Id="rId185" Type="http://schemas.openxmlformats.org/officeDocument/2006/relationships/hyperlink" Target="https://go.redirectingat.com/?id=74968X1525077&amp;xs=1&amp;url=https%3A%2F%2Fwww.tripadvisor.com%2FTourism-g60727-Berlin_Maryland-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0f70350-ba59-4efa-be82-01ea4136a111%5Bproduct_retailer_id%7C" TargetMode="External"/><Relationship Id="rId49" Type="http://schemas.openxmlformats.org/officeDocument/2006/relationships/hyperlink" Target="https://www.atlasobscura.com/places/suakin" TargetMode="External"/><Relationship Id="rId184" Type="http://schemas.openxmlformats.org/officeDocument/2006/relationships/hyperlink" Target="https://go.redirectingat.com/?id=74968X1525077&amp;xs=1&amp;url=https%3A%2F%2Fwww.tripadvisor.com%2FTourism-g38280-Pella_Iow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640ef63-30d0-4def-9910-5c115703eaa5%5Bproduct_retailer_id%7C" TargetMode="External"/><Relationship Id="rId189" Type="http://schemas.openxmlformats.org/officeDocument/2006/relationships/hyperlink" Target="https://go.redirectingat.com/?id=74968X1525077&amp;xs=1&amp;url=https%3A%2F%2Fwww.tripadvisor.com%2FTourism-g59630-Welch_West_Virgi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c0a5b85-a629-4983-8bf5-a6b8c054631c%5Bproduct_retailer_id%7C" TargetMode="External"/><Relationship Id="rId188" Type="http://schemas.openxmlformats.org/officeDocument/2006/relationships/hyperlink" Target="https://www.onlyinyourstate.com/washington/weekend-escape-small-towns-in-wa/" TargetMode="External"/><Relationship Id="rId31" Type="http://schemas.openxmlformats.org/officeDocument/2006/relationships/hyperlink" Target="https://magazine.lensvid.com/article/fb/1318327108/mysterious-places-in-the-world-that-are-off-limits-to-everyone-and-why/" TargetMode="External"/><Relationship Id="rId30" Type="http://schemas.openxmlformats.org/officeDocument/2006/relationships/hyperlink" Target="https://www.nytimes.com/2021/10/11/travel/st-kilda-scotland.html" TargetMode="External"/><Relationship Id="rId33" Type="http://schemas.openxmlformats.org/officeDocument/2006/relationships/hyperlink" Target="https://en.wikipedia.org/wiki/Mount_Roraima" TargetMode="External"/><Relationship Id="rId183" Type="http://schemas.openxmlformats.org/officeDocument/2006/relationships/hyperlink" Target="https://go.redirectingat.com/?id=74968X1525077&amp;xs=1&amp;url=https%3A%2F%2Fwww.tripadvisor.com%2FTourism-g55055-Franklin_Tennessee-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64976565-3ebd-4da2-96f1-c206db5d433c%5Bproduct_retailer_id%7C" TargetMode="External"/><Relationship Id="rId32" Type="http://schemas.openxmlformats.org/officeDocument/2006/relationships/hyperlink" Target="https://magazine.lensvid.com/article/fb/1318327108/mysterious-places-in-the-world-that-are-off-limits-to-everyone-and-why/" TargetMode="External"/><Relationship Id="rId182" Type="http://schemas.openxmlformats.org/officeDocument/2006/relationships/hyperlink" Target="https://go.redirectingat.com/?id=74968X1525077&amp;xs=1&amp;url=https%3A%2F%2Fwww.tripadvisor.com%2FTourism-g60722-Harpers_Ferry_West_Virgi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7d485e04-d34d-4394-b741-b84f55988820%5Bproduct_retailer_id%7C" TargetMode="External"/><Relationship Id="rId35" Type="http://schemas.openxmlformats.org/officeDocument/2006/relationships/hyperlink" Target="https://magazine.lensvid.com/article/fb/1318327108/mysterious-places-in-the-world-that-are-off-limits-to-everyone-and-why/" TargetMode="External"/><Relationship Id="rId181" Type="http://schemas.openxmlformats.org/officeDocument/2006/relationships/hyperlink" Target="https://www.onlyinyourstate.com/washington/weekend-escape-small-towns-in-wa/" TargetMode="External"/><Relationship Id="rId34" Type="http://schemas.openxmlformats.org/officeDocument/2006/relationships/hyperlink" Target="https://magazine.lensvid.com/article/fb/1318327108/mysterious-places-in-the-world-that-are-off-limits-to-everyone-and-why/" TargetMode="External"/><Relationship Id="rId180" Type="http://schemas.openxmlformats.org/officeDocument/2006/relationships/hyperlink" Target="https://www.onlyinyourstate.com/washington/weekend-escape-small-towns-in-wa/" TargetMode="External"/><Relationship Id="rId37" Type="http://schemas.openxmlformats.org/officeDocument/2006/relationships/hyperlink" Target="https://www.insider.com/abandoned-places-us-states-2018-4" TargetMode="External"/><Relationship Id="rId176" Type="http://schemas.openxmlformats.org/officeDocument/2006/relationships/hyperlink" Target="https://go.redirectingat.com/?id=74968X1525077&amp;xs=1&amp;url=https%3A%2F%2Fwww.tripadvisor.com%2FTourism-g57394-Shelburne_Vermont-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15139228-dab1-4597-b1ab-e4a80288a794%5Bproduct_retailer_id%7C" TargetMode="External"/><Relationship Id="rId36" Type="http://schemas.openxmlformats.org/officeDocument/2006/relationships/hyperlink" Target="https://www.atlasobscura.com/places/mont-saint-michel" TargetMode="External"/><Relationship Id="rId175" Type="http://schemas.openxmlformats.org/officeDocument/2006/relationships/hyperlink" Target="https://go.redirectingat.com/?id=74968X1525077&amp;xs=1&amp;url=https%3A%2F%2Fwww.tripadvisor.com%2FTourism-g57228-Dorset_Vermont-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0061baca-e08f-4877-a61f-4a639fc5d534%5Bproduct_retailer_id%7C" TargetMode="External"/><Relationship Id="rId39" Type="http://schemas.openxmlformats.org/officeDocument/2006/relationships/hyperlink" Target="https://www.youtube.com/watch?v=sSIlZcEWyqg" TargetMode="External"/><Relationship Id="rId174" Type="http://schemas.openxmlformats.org/officeDocument/2006/relationships/hyperlink" Target="https://go.redirectingat.com/?id=74968X1525077&amp;xs=1&amp;url=https%3A%2F%2Fwww.tripadvisor.com%2FTourism-g61001-Springdale_Utah-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22872d78-60aa-4103-ba9c-a8281972de0f%5Bproduct_retailer_id%7C" TargetMode="External"/><Relationship Id="rId38" Type="http://schemas.openxmlformats.org/officeDocument/2006/relationships/hyperlink" Target="https://www.abandonedspaces.com/towns/abandoned-20.html?chrome=1&amp;D2c=1&amp;A1c=1" TargetMode="External"/><Relationship Id="rId173" Type="http://schemas.openxmlformats.org/officeDocument/2006/relationships/hyperlink" Target="https://go.redirectingat.com/?id=74968X1525077&amp;xs=1&amp;url=https%3A%2F%2Fwww.tripadvisor.com%2FTourism-g54680-Lead_South_Dakot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fdda0c7d-a550-4798-b5f7-300ef2d7b764%5Bproduct_retailer_id%7C" TargetMode="External"/><Relationship Id="rId179" Type="http://schemas.openxmlformats.org/officeDocument/2006/relationships/hyperlink" Target="https://www.onlyinyourstate.com/washington/weekend-escape-small-towns-in-wa/" TargetMode="External"/><Relationship Id="rId178" Type="http://schemas.openxmlformats.org/officeDocument/2006/relationships/hyperlink" Target="https://www.onlyinyourstate.com/washington/weekend-escape-small-towns-in-wa/" TargetMode="External"/><Relationship Id="rId177" Type="http://schemas.openxmlformats.org/officeDocument/2006/relationships/hyperlink" Target="https://go.redirectingat.com/?id=74968X1525077&amp;xs=1&amp;url=https%3A%2F%2Fwww.tripadvisor.com%2FTourism-g57658-Damascus_Virgi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308bf78-5890-48f7-b35b-910110bfa987%5Bproduct_retailer_id%7C" TargetMode="External"/><Relationship Id="rId20" Type="http://schemas.openxmlformats.org/officeDocument/2006/relationships/hyperlink" Target="https://www.youtube.com/watch?v=Qk_gx3CmACY" TargetMode="External"/><Relationship Id="rId22" Type="http://schemas.openxmlformats.org/officeDocument/2006/relationships/hyperlink" Target="https://en.wikipedia.org/wiki/Skagway,_Alaska" TargetMode="External"/><Relationship Id="rId21" Type="http://schemas.openxmlformats.org/officeDocument/2006/relationships/hyperlink" Target="https://medium.com/@embamexindia/festival-internacional-cervantino-ac9e13b2092a" TargetMode="External"/><Relationship Id="rId24" Type="http://schemas.openxmlformats.org/officeDocument/2006/relationships/hyperlink" Target="https://magazine.lensvid.com/article/fb/1318327108/mysterious-places-in-the-world-that-are-off-limits-to-everyone-and-why/" TargetMode="External"/><Relationship Id="rId23" Type="http://schemas.openxmlformats.org/officeDocument/2006/relationships/hyperlink" Target="https://www.youtube.com/watch?v=Qk_gx3CmACY" TargetMode="External"/><Relationship Id="rId26" Type="http://schemas.openxmlformats.org/officeDocument/2006/relationships/hyperlink" Target="https://www.cnn.com/travel/article/ittoqqortoormiit-greenland-remote-hotel/index.html" TargetMode="External"/><Relationship Id="rId25" Type="http://schemas.openxmlformats.org/officeDocument/2006/relationships/hyperlink" Target="https://www.bbc.co.uk/news/resources/idt-sh/the_town_that_disappeared" TargetMode="External"/><Relationship Id="rId28" Type="http://schemas.openxmlformats.org/officeDocument/2006/relationships/hyperlink" Target="https://magazine.lensvid.com/article/fb/1318327108/mysterious-places-in-the-world-that-are-off-limits-to-everyone-and-why/" TargetMode="External"/><Relationship Id="rId27" Type="http://schemas.openxmlformats.org/officeDocument/2006/relationships/hyperlink" Target="https://magazine.lensvid.com/article/fb/1318327108/mysterious-places-in-the-world-that-are-off-limits-to-everyone-and-why/" TargetMode="External"/><Relationship Id="rId29" Type="http://schemas.openxmlformats.org/officeDocument/2006/relationships/hyperlink" Target="https://magazine.lensvid.com/article/fb/1318327108/mysterious-places-in-the-world-that-are-off-limits-to-everyone-and-why/" TargetMode="External"/><Relationship Id="rId11" Type="http://schemas.openxmlformats.org/officeDocument/2006/relationships/hyperlink" Target="https://magazine.lensvid.com/article/fb/1318327108/mysterious-places-in-the-world-that-are-off-limits-to-everyone-and-why/" TargetMode="External"/><Relationship Id="rId10" Type="http://schemas.openxmlformats.org/officeDocument/2006/relationships/hyperlink" Target="https://www.youtube.com/watch?v=sSIlZcEWyqg" TargetMode="External"/><Relationship Id="rId13" Type="http://schemas.openxmlformats.org/officeDocument/2006/relationships/hyperlink" Target="https://www.youtube.com/watch?v=Qk_gx3CmACY" TargetMode="External"/><Relationship Id="rId12" Type="http://schemas.openxmlformats.org/officeDocument/2006/relationships/hyperlink" Target="https://magazine.lensvid.com/article/fb/1318327108/mysterious-places-in-the-world-that-are-off-limits-to-everyone-and-why/" TargetMode="External"/><Relationship Id="rId15" Type="http://schemas.openxmlformats.org/officeDocument/2006/relationships/hyperlink" Target="https://magazine.lensvid.com/article/fb/1318327108/mysterious-places-in-the-world-that-are-off-limits-to-everyone-and-why/" TargetMode="External"/><Relationship Id="rId198" Type="http://schemas.openxmlformats.org/officeDocument/2006/relationships/hyperlink" Target="https://www.thrillist.com/lifestyle/seattle/abandoned-places-in-washington-to-explore" TargetMode="External"/><Relationship Id="rId14" Type="http://schemas.openxmlformats.org/officeDocument/2006/relationships/hyperlink" Target="https://magazine.lensvid.com/article/fb/1318327108/mysterious-places-in-the-world-that-are-off-limits-to-everyone-and-why/" TargetMode="External"/><Relationship Id="rId197" Type="http://schemas.openxmlformats.org/officeDocument/2006/relationships/hyperlink" Target="https://maps.roadtrippers.com/us/port-townsend-wa/food-drink/j-n-k-train-cars" TargetMode="External"/><Relationship Id="rId17" Type="http://schemas.openxmlformats.org/officeDocument/2006/relationships/hyperlink" Target="https://magazine.lensvid.com/article/fb/1318327108/mysterious-places-in-the-world-that-are-off-limits-to-everyone-and-why/" TargetMode="External"/><Relationship Id="rId196" Type="http://schemas.openxmlformats.org/officeDocument/2006/relationships/hyperlink" Target="https://magazine.lensvid.com/article/fb/1318327108/mysterious-places-in-the-world-that-are-off-limits-to-everyone-and-why/" TargetMode="External"/><Relationship Id="rId16" Type="http://schemas.openxmlformats.org/officeDocument/2006/relationships/hyperlink" Target="https://www.youtube.com/watch?v=Qk_gx3CmACY" TargetMode="External"/><Relationship Id="rId195" Type="http://schemas.openxmlformats.org/officeDocument/2006/relationships/hyperlink" Target="https://en.wikipedia.org/wiki/Peter_Iredale" TargetMode="External"/><Relationship Id="rId19" Type="http://schemas.openxmlformats.org/officeDocument/2006/relationships/hyperlink" Target="https://en.wikipedia.org/wiki/Kennecott,_Alaska" TargetMode="External"/><Relationship Id="rId18" Type="http://schemas.openxmlformats.org/officeDocument/2006/relationships/hyperlink" Target="https://www.youtube.com/watch?v=Qk_gx3CmACY" TargetMode="External"/><Relationship Id="rId199" Type="http://schemas.openxmlformats.org/officeDocument/2006/relationships/hyperlink" Target="https://hungrybackpack.com/abandoned-cruise-ship-koh-chang/" TargetMode="External"/><Relationship Id="rId84" Type="http://schemas.openxmlformats.org/officeDocument/2006/relationships/hyperlink" Target="https://www.youtube.com/watch?v=Qk_gx3CmACY" TargetMode="External"/><Relationship Id="rId83" Type="http://schemas.openxmlformats.org/officeDocument/2006/relationships/hyperlink" Target="https://magazine.lensvid.com/article/fb/1318327108/mysterious-places-in-the-world-that-are-off-limits-to-everyone-and-why/" TargetMode="External"/><Relationship Id="rId86" Type="http://schemas.openxmlformats.org/officeDocument/2006/relationships/hyperlink" Target="https://go.redirectingat.com/?id=74968X1525077&amp;xs=1&amp;url=https%3A%2F%2Fwww.tripadvisor.com%2FTourism-g58560-Leavenworth_Washington-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44e4b002-f11d-4d6b-b5c2-9533780434ba%5Bproduct_retailer_id%7C" TargetMode="External"/><Relationship Id="rId85" Type="http://schemas.openxmlformats.org/officeDocument/2006/relationships/hyperlink" Target="https://www.onlyinyourstate.com/washington/weekend-escape-small-towns-in-wa/" TargetMode="External"/><Relationship Id="rId88" Type="http://schemas.openxmlformats.org/officeDocument/2006/relationships/hyperlink" Target="https://www.onlyinyourstate.com/washington/weekend-escape-small-towns-in-wa/" TargetMode="External"/><Relationship Id="rId150" Type="http://schemas.openxmlformats.org/officeDocument/2006/relationships/hyperlink" Target="https://go.redirectingat.com/?id=74968X1525077&amp;xs=1&amp;url=https%3A%2F%2Fwww.tripadvisor.com%2FTourism-g29386-Abilene_Kansas-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5928b9c-81ac-4801-8fae-1b819feb0ba8%5Bproduct_retailer_id%7C" TargetMode="External"/><Relationship Id="rId87" Type="http://schemas.openxmlformats.org/officeDocument/2006/relationships/hyperlink" Target="https://go.redirectingat.com/?id=74968X1525077&amp;xs=1&amp;url=https%3A%2F%2Fwww.tripadvisor.com%2FTourism-g51909-Hood_River_Oregon-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fa1202a2-6706-461f-a657-e4d8e2917fef%5Bproduct_retailer_id%7C" TargetMode="External"/><Relationship Id="rId89" Type="http://schemas.openxmlformats.org/officeDocument/2006/relationships/hyperlink" Target="https://www.wta.org/go-hiking/hikes/iron-goat-trail" TargetMode="External"/><Relationship Id="rId80" Type="http://schemas.openxmlformats.org/officeDocument/2006/relationships/hyperlink" Target="https://www.atlasobscura.com/places/atomic-bank-vault" TargetMode="External"/><Relationship Id="rId82" Type="http://schemas.openxmlformats.org/officeDocument/2006/relationships/hyperlink" Target="https://magazine.lensvid.com/article/fb/1318327108/mysterious-places-in-the-world-that-are-off-limits-to-everyone-and-why/" TargetMode="External"/><Relationship Id="rId81" Type="http://schemas.openxmlformats.org/officeDocument/2006/relationships/hyperlink" Target="https://www.youtube.com/watch?v=sSIlZcEWyqg" TargetMode="External"/><Relationship Id="rId1" Type="http://schemas.openxmlformats.org/officeDocument/2006/relationships/hyperlink" Target="https://us-keepexploring.canada.travel/things-to-do/bucket-list-guide-torngat-mountains-national-park" TargetMode="External"/><Relationship Id="rId2" Type="http://schemas.openxmlformats.org/officeDocument/2006/relationships/hyperlink" Target="https://magazine.lensvid.com/article/fb/1318327108/mysterious-places-in-the-world-that-are-off-limits-to-everyone-and-why/" TargetMode="External"/><Relationship Id="rId3" Type="http://schemas.openxmlformats.org/officeDocument/2006/relationships/hyperlink" Target="https://magazine.lensvid.com/article/fb/1318327108/mysterious-places-in-the-world-that-are-off-limits-to-everyone-and-why/" TargetMode="External"/><Relationship Id="rId149" Type="http://schemas.openxmlformats.org/officeDocument/2006/relationships/hyperlink" Target="https://go.redirectingat.com/?id=74968X1525077&amp;xs=1&amp;url=https%3A%2F%2Fwww.tripadvisor.com%2FTourism-g37526-Shipshewana_Indian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45b62db-fe57-4edd-bda1-0e2aa90a2e61%5Bproduct_retailer_id%7C" TargetMode="External"/><Relationship Id="rId4" Type="http://schemas.openxmlformats.org/officeDocument/2006/relationships/hyperlink" Target="https://magazine.lensvid.com/article/fb/1318327108/mysterious-places-in-the-world-that-are-off-limits-to-everyone-and-why/" TargetMode="External"/><Relationship Id="rId148" Type="http://schemas.openxmlformats.org/officeDocument/2006/relationships/hyperlink" Target="https://go.redirectingat.com/?id=74968X1525077&amp;xs=1&amp;url=https%3A%2F%2Fwww.tripadvisor.com%2FTourism-g36022-Galena_Illinois-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35da7fb2-921b-4aaa-80dd-0e8c65697f9b%5Bproduct_retailer_id%7C" TargetMode="External"/><Relationship Id="rId9" Type="http://schemas.openxmlformats.org/officeDocument/2006/relationships/hyperlink" Target="https://www.atlasobscura.com/places/gubkanjima-island" TargetMode="External"/><Relationship Id="rId143" Type="http://schemas.openxmlformats.org/officeDocument/2006/relationships/hyperlink" Target="https://go.redirectingat.com/?id=74968X1525077&amp;xs=1&amp;url=https%3A%2F%2Fwww.tripadvisor.com%2FTourism-g34551-Perdido_Key_Florid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f0ab5c03-ec8c-44b8-aa03-f6ea5c5bbf4d%5Bproduct_retailer_id%7C" TargetMode="External"/><Relationship Id="rId142" Type="http://schemas.openxmlformats.org/officeDocument/2006/relationships/hyperlink" Target="https://go.redirectingat.com/?id=74968X1525077&amp;xs=1&amp;url=https%3A%2F%2Fwww.tripadvisor.com%2FTourism-g34039-Milton_Delaware-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eb0db9d-bd6f-4896-a1f0-0ddf957bc84d%5Bproduct_retailer_id%7C" TargetMode="External"/><Relationship Id="rId141" Type="http://schemas.openxmlformats.org/officeDocument/2006/relationships/hyperlink" Target="https://go.redirectingat.com/?id=74968X1525077&amp;xs=1&amp;url=https%3A%2F%2Fwww.tripadvisor.com%2FTourism-g33798-Guilford_Connecticut-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37db09f7-d96c-45a2-9d12-9c1632241b02%5Bproduct_retailer_id%7C" TargetMode="External"/><Relationship Id="rId140" Type="http://schemas.openxmlformats.org/officeDocument/2006/relationships/hyperlink" Target="https://go.redirectingat.com/?id=74968X1525077&amp;xs=1&amp;url=https%3A%2F%2Fwww.tripadvisor.com%2FTourism-g33376-Creede_Colorado-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e13fd4c-34c4-40e1-85a4-2c27b97dc8d4%5Bproduct_retailer_id%7C" TargetMode="External"/><Relationship Id="rId5" Type="http://schemas.openxmlformats.org/officeDocument/2006/relationships/hyperlink" Target="https://www.bareiss.com/en/" TargetMode="External"/><Relationship Id="rId147" Type="http://schemas.openxmlformats.org/officeDocument/2006/relationships/hyperlink" Target="https://go.redirectingat.com/?id=74968X1525077&amp;xs=1&amp;url=https%3A%2F%2Fwww.tripadvisor.com%2FTourism-g60636-Paia_Maui_Hawaii-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0e98dc9d-d3d8-4011-bd7c-98f71eaae7a8%5Bproduct_retailer_id%7C" TargetMode="External"/><Relationship Id="rId6" Type="http://schemas.openxmlformats.org/officeDocument/2006/relationships/hyperlink" Target="https://www.youtube.com/watch?v=Qk_gx3CmACY" TargetMode="External"/><Relationship Id="rId146" Type="http://schemas.openxmlformats.org/officeDocument/2006/relationships/hyperlink" Target="https://go.redirectingat.com/?id=74968X1525077&amp;xs=1&amp;url=https%3A%2F%2Fwww.tripadvisor.com%2FTourism-g35241-Saint_Simons_Island_Golden_Isles_of_Georgia_Georg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a14340f0-3ade-47f1-ba2d-67fdd31c0f78%5Bproduct_retailer_id%7C" TargetMode="External"/><Relationship Id="rId7" Type="http://schemas.openxmlformats.org/officeDocument/2006/relationships/hyperlink" Target="https://www.youtube.com/watch?v=sSIlZcEWyqg" TargetMode="External"/><Relationship Id="rId145" Type="http://schemas.openxmlformats.org/officeDocument/2006/relationships/hyperlink" Target="https://www.cityofstuart.us/" TargetMode="External"/><Relationship Id="rId8" Type="http://schemas.openxmlformats.org/officeDocument/2006/relationships/hyperlink" Target="https://magazine.lensvid.com/article/fb/1318327108/mysterious-places-in-the-world-that-are-off-limits-to-everyone-and-why/" TargetMode="External"/><Relationship Id="rId144" Type="http://schemas.openxmlformats.org/officeDocument/2006/relationships/hyperlink" Target="https://go.redirectingat.com/?id=74968X1525077&amp;xs=1&amp;url=https%3A%2F%2Fwww.tripadvisor.com%2FTourism-g34126-Cedar_Key_Florid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4855b815-288f-46e9-8d27-b9abd4829198%5Bproduct_retailer_id%7C" TargetMode="External"/><Relationship Id="rId73" Type="http://schemas.openxmlformats.org/officeDocument/2006/relationships/hyperlink" Target="https://www.insider.com/abandoned-places-us-states-2018-4" TargetMode="External"/><Relationship Id="rId72" Type="http://schemas.openxmlformats.org/officeDocument/2006/relationships/hyperlink" Target="https://magazine.lensvid.com/article/fb/1318327108/mysterious-places-in-the-world-that-are-off-limits-to-everyone-and-why/" TargetMode="External"/><Relationship Id="rId75" Type="http://schemas.openxmlformats.org/officeDocument/2006/relationships/hyperlink" Target="https://en.wikipedia.org/wiki/Magnitogorsk" TargetMode="External"/><Relationship Id="rId74" Type="http://schemas.openxmlformats.org/officeDocument/2006/relationships/hyperlink" Target="https://magazine.lensvid.com/article/fb/1318327108/mysterious-places-in-the-world-that-are-off-limits-to-everyone-and-why/" TargetMode="External"/><Relationship Id="rId77" Type="http://schemas.openxmlformats.org/officeDocument/2006/relationships/hyperlink" Target="https://www.youtube.com/watch?v=sSIlZcEWyqg" TargetMode="External"/><Relationship Id="rId76" Type="http://schemas.openxmlformats.org/officeDocument/2006/relationships/hyperlink" Target="https://en.wikipedia.org/wiki/Chuquicamata" TargetMode="External"/><Relationship Id="rId79" Type="http://schemas.openxmlformats.org/officeDocument/2006/relationships/hyperlink" Target="https://www.atlasobscura.com/places/b23-dragon-bomber-wreckage" TargetMode="External"/><Relationship Id="rId78" Type="http://schemas.openxmlformats.org/officeDocument/2006/relationships/hyperlink" Target="https://magazine.lensvid.com/article/fb/1318327108/mysterious-places-in-the-world-that-are-off-limits-to-everyone-and-why/" TargetMode="External"/><Relationship Id="rId71" Type="http://schemas.openxmlformats.org/officeDocument/2006/relationships/hyperlink" Target="https://www.insider.com/abandoned-places-us-states-2018-4" TargetMode="External"/><Relationship Id="rId70" Type="http://schemas.openxmlformats.org/officeDocument/2006/relationships/hyperlink" Target="https://magazine.lensvid.com/article/fb/1318327108/mysterious-places-in-the-world-that-are-off-limits-to-everyone-and-why/" TargetMode="External"/><Relationship Id="rId139" Type="http://schemas.openxmlformats.org/officeDocument/2006/relationships/hyperlink" Target="https://go.redirectingat.com/?id=74968X1525077&amp;xs=1&amp;url=https%3A%2F%2Fwww.tripadvisor.com%2FTourism-g33188-Trinidad_Humboldt_County_Califor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7ce0fe59-e663-4daa-94d9-1445bee61831%5Bproduct_retailer_id%7C" TargetMode="External"/><Relationship Id="rId138" Type="http://schemas.openxmlformats.org/officeDocument/2006/relationships/hyperlink" Target="https://go.redirectingat.com/?id=74968X1525077&amp;xs=1&amp;url=https%3A%2F%2Fwww.tripadvisor.com%2FTourism-g32378-Ferndale_Humboldt_County_Califor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001b641-366b-4cd4-bd45-55861ba01672%5Bproduct_retailer_id%7C" TargetMode="External"/><Relationship Id="rId137" Type="http://schemas.openxmlformats.org/officeDocument/2006/relationships/hyperlink" Target="https://go.redirectingat.com/?id=74968X1525077&amp;xs=1&amp;url=https%3A%2F%2Fwww.tripadvisor.com%2FTourism-g32482-Healdsburg_Sonoma_County_Califor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7f13000-3d63-472a-b156-70c6bcd9684f%5Bproduct_retailer_id%7C" TargetMode="External"/><Relationship Id="rId132" Type="http://schemas.openxmlformats.org/officeDocument/2006/relationships/hyperlink" Target="https://go.redirectingat.com/?id=74968X1525077&amp;xs=1&amp;url=https%3A%2F%2Fwww.tripadvisor.com%2FTourism-g31171-Bisbee_Arizon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aeddbe23-f03a-438c-9b0a-d357624aeca5%5Bproduct_retailer_id%7C" TargetMode="External"/><Relationship Id="rId131" Type="http://schemas.openxmlformats.org/officeDocument/2006/relationships/hyperlink" Target="https://www.wta.org/go-hiking/hikes/northern-state-ghost-town" TargetMode="External"/><Relationship Id="rId130" Type="http://schemas.openxmlformats.org/officeDocument/2006/relationships/hyperlink" Target="https://www.thrillist.com/lifestyle/seattle/abandoned-places-in-washington-to-explore" TargetMode="External"/><Relationship Id="rId136" Type="http://schemas.openxmlformats.org/officeDocument/2006/relationships/hyperlink" Target="https://go.redirectingat.com/?id=74968X1525077&amp;xs=1&amp;url=https%3A%2F%2Fwww.tripadvisor.com%2FTourism-g32168-Capitola_Califor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940ecadb-df2a-4c87-abca-735d8395b2d8%5Bproduct_retailer_id%7C" TargetMode="External"/><Relationship Id="rId135" Type="http://schemas.openxmlformats.org/officeDocument/2006/relationships/hyperlink" Target="https://go.redirectingat.com/?id=74968X1525077&amp;xs=1&amp;url=https%3A%2F%2Fwww.tripadvisor.com%2FHome-g32556%3Ffid%3D4a050733-0469-4ab4-9224-ff349692f30e&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6d4f2660-d90f-49ab-b02d-9be3c21abc69%5Bproduct_retailer_id%7C" TargetMode="External"/><Relationship Id="rId134" Type="http://schemas.openxmlformats.org/officeDocument/2006/relationships/hyperlink" Target="https://go.redirectingat.com/?id=74968X1525077&amp;xs=1&amp;url=https%3A%2F%2Fwww.tripadvisor.com%2FAttraction_Review-g31892-d629565-Reviews-War_Eagle_Mill-Rogers_Arkansa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8e0ccaef-5a43-4ccc-85bf-f3fe89dfd762%5Bproduct_retailer_id%7C" TargetMode="External"/><Relationship Id="rId133" Type="http://schemas.openxmlformats.org/officeDocument/2006/relationships/hyperlink" Target="https://go.redirectingat.com/?id=74968X1525077&amp;xs=1&amp;url=https%3A%2F%2Fwww.tripadvisor.com%2FTourism-g31582-Eureka_Springs_Arkansas-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1e70a449-a657-4d4b-9e8c-c934750ffee8%5Bproduct_retailer_id%7C" TargetMode="External"/><Relationship Id="rId62" Type="http://schemas.openxmlformats.org/officeDocument/2006/relationships/hyperlink" Target="https://www.tokelandhotel.com/" TargetMode="External"/><Relationship Id="rId61" Type="http://schemas.openxmlformats.org/officeDocument/2006/relationships/hyperlink" Target="https://www.seattlepi.com/lifestyle/food/article/where-to-eat-in-seattle-instead-of-willows-inn-16137018.php" TargetMode="External"/><Relationship Id="rId64" Type="http://schemas.openxmlformats.org/officeDocument/2006/relationships/hyperlink" Target="https://www.hotairballoon.com/International-Hot-Air-Balloon-Festival/" TargetMode="External"/><Relationship Id="rId63" Type="http://schemas.openxmlformats.org/officeDocument/2006/relationships/hyperlink" Target="https://www.wta.org/go-hiking/hikes/summerland-panhandle-gap" TargetMode="External"/><Relationship Id="rId66" Type="http://schemas.openxmlformats.org/officeDocument/2006/relationships/hyperlink" Target="https://magazine.lensvid.com/article/fb/1318327108/mysterious-places-in-the-world-that-are-off-limits-to-everyone-and-why/" TargetMode="External"/><Relationship Id="rId172" Type="http://schemas.openxmlformats.org/officeDocument/2006/relationships/hyperlink" Target="https://go.redirectingat.com/?id=74968X1525077&amp;xs=1&amp;url=https%3A%2F%2Fwww.tripadvisor.com%2FTourism-g52905-Jim_Thorpe_Pocono_Mountains_Region_Pennsylvani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c712f8ca-66a0-4652-a82a-8a42b86eef7e%5Bproduct_retailer_id%7C" TargetMode="External"/><Relationship Id="rId65" Type="http://schemas.openxmlformats.org/officeDocument/2006/relationships/hyperlink" Target="https://seattle.curbed.com/2018/4/2/17190192/washington-treehouses-near-seattle-rentals" TargetMode="External"/><Relationship Id="rId171" Type="http://schemas.openxmlformats.org/officeDocument/2006/relationships/hyperlink" Target="https://go.redirectingat.com/?id=74968X1525077&amp;xs=1&amp;url=https%3A%2F%2Fwww.tripadvisor.com%2FTourism-g51818-Cottage_Grove_Oregon-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65056a1c-8a52-4c25-98bd-d62e5eaad5b0%5Bproduct_retailer_id%7C" TargetMode="External"/><Relationship Id="rId68" Type="http://schemas.openxmlformats.org/officeDocument/2006/relationships/hyperlink" Target="https://magazine.lensvid.com/article/fb/1318327108/mysterious-places-in-the-world-that-are-off-limits-to-everyone-and-why/" TargetMode="External"/><Relationship Id="rId170" Type="http://schemas.openxmlformats.org/officeDocument/2006/relationships/hyperlink" Target="https://go.redirectingat.com/?id=74968X1525077&amp;xs=1&amp;url=https%3A%2F%2Fwww.tripadvisor.com%2FTourism-g60806-Astoria_Oregon-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0132767-b572-4f79-aec4-230eba3d1114%5Bproduct_retailer_id%7C" TargetMode="External"/><Relationship Id="rId67" Type="http://schemas.openxmlformats.org/officeDocument/2006/relationships/hyperlink" Target="https://magazine.lensvid.com/article/fb/1318327108/mysterious-places-in-the-world-that-are-off-limits-to-everyone-and-why/" TargetMode="External"/><Relationship Id="rId60" Type="http://schemas.openxmlformats.org/officeDocument/2006/relationships/hyperlink" Target="https://www.fridayharborhouse.com/" TargetMode="External"/><Relationship Id="rId165" Type="http://schemas.openxmlformats.org/officeDocument/2006/relationships/hyperlink" Target="https://go.redirectingat.com/?id=74968X1525077&amp;xs=1&amp;url=https%3A%2F%2Fwww.tripadvisor.com%2FTourism-g47538-Corning_Finger_Lakes_New_York-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a54326e0-96b5-422f-ae66-fd42f9272583%5Bproduct_retailer_id%7C" TargetMode="External"/><Relationship Id="rId69" Type="http://schemas.openxmlformats.org/officeDocument/2006/relationships/hyperlink" Target="https://magazine.lensvid.com/article/fb/1318327108/mysterious-places-in-the-world-that-are-off-limits-to-everyone-and-why/" TargetMode="External"/><Relationship Id="rId164" Type="http://schemas.openxmlformats.org/officeDocument/2006/relationships/hyperlink" Target="https://go.redirectingat.com/?id=74968X1525077&amp;xs=1&amp;url=https%3A%2F%2Fwww.tripadvisor.com%2FTourism-g48618-Skaneateles_Finger_Lakes_New_York-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464128b7-ad00-4755-bf60-54b43e2f7bc5%5Bproduct_retailer_id%7C" TargetMode="External"/><Relationship Id="rId163" Type="http://schemas.openxmlformats.org/officeDocument/2006/relationships/hyperlink" Target="https://www.esquire.com/lifestyle/g35036575/small-american-town-destinations/?utm_source=facebook_arb&amp;utm_medium=cpm&amp;utm_campaign=arb_fb_esq_m_and_g35036575&amp;fbclid=IwAR3di_cgabySg_heFcy173qLloADUr2bYRBDZ5C-zrbKCdXiF8v1gx-Jusg&amp;slide=41" TargetMode="External"/><Relationship Id="rId162" Type="http://schemas.openxmlformats.org/officeDocument/2006/relationships/hyperlink" Target="https://go.redirectingat.com/?id=74968X1525077&amp;xs=1&amp;url=https%3A%2F%2Fwww.tripadvisor.com%2FTourism-g47042-Gallup_New_Mexico-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7259f905-6202-4e6e-a2b8-5e83454bb756%5Bproduct_retailer_id%7C" TargetMode="External"/><Relationship Id="rId169" Type="http://schemas.openxmlformats.org/officeDocument/2006/relationships/hyperlink" Target="https://go.redirectingat.com/?id=74968X1525077&amp;xs=1&amp;url=https%3A%2F%2Fwww.tripadvisor.com%2FAttraction_Review-g51303-d117492-Reviews-Turner_Falls_Park-Davis_Oklahoma.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3a7608e2-4267-4157-b17b-dcdbc2c9d966%5Bproduct_retailer_id%7C" TargetMode="External"/><Relationship Id="rId168" Type="http://schemas.openxmlformats.org/officeDocument/2006/relationships/hyperlink" Target="https://go.redirectingat.com/?id=74968X1525077&amp;xs=1&amp;url=https%3A%2F%2Fwww.tripadvisor.com%2FTourism-g50608-Marietta_Ohio-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30c4ebfd-f56a-4c1e-b5dc-e367c7d7c725%5Bproduct_retailer_id%7C" TargetMode="External"/><Relationship Id="rId167" Type="http://schemas.openxmlformats.org/officeDocument/2006/relationships/hyperlink" Target="https://go.redirectingat.com/?id=74968X1525077&amp;xs=1&amp;url=https%3A%2F%2Fwww.tripadvisor.com%2FTourism-g50874-Put_in_Bay_Ohio-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147395e5-38ce-4a80-a200-39e740e781e4%5Bproduct_retailer_id%7C" TargetMode="External"/><Relationship Id="rId166" Type="http://schemas.openxmlformats.org/officeDocument/2006/relationships/hyperlink" Target="https://go.redirectingat.com/?id=74968X1525077&amp;xs=1&amp;url=https%3A%2F%2Fwww.tripadvisor.com%2FTourism-g48975-Boone_North_Carolin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bde101f2-2e0e-44b3-a102-bc5b1b601bad%5Bproduct_retailer_id%7C" TargetMode="External"/><Relationship Id="rId51" Type="http://schemas.openxmlformats.org/officeDocument/2006/relationships/hyperlink" Target="https://magazine.lensvid.com/article/fb/1318327108/mysterious-places-in-the-world-that-are-off-limits-to-everyone-and-why/" TargetMode="External"/><Relationship Id="rId50" Type="http://schemas.openxmlformats.org/officeDocument/2006/relationships/hyperlink" Target="https://magazine.lensvid.com/article/fb/1318327108/mysterious-places-in-the-world-that-are-off-limits-to-everyone-and-why/" TargetMode="External"/><Relationship Id="rId53" Type="http://schemas.openxmlformats.org/officeDocument/2006/relationships/hyperlink" Target="https://magazine.lensvid.com/article/fb/1318327108/mysterious-places-in-the-world-that-are-off-limits-to-everyone-and-why/" TargetMode="External"/><Relationship Id="rId52" Type="http://schemas.openxmlformats.org/officeDocument/2006/relationships/hyperlink" Target="https://www.atlasobscura.com/places/deception-island-2" TargetMode="External"/><Relationship Id="rId55" Type="http://schemas.openxmlformats.org/officeDocument/2006/relationships/hyperlink" Target="https://theatre-antique.com/en/your-visit/" TargetMode="External"/><Relationship Id="rId161" Type="http://schemas.openxmlformats.org/officeDocument/2006/relationships/hyperlink" Target="https://go.redirectingat.com/?id=74968X1525077&amp;xs=1&amp;url=https%3A%2F%2Fwww.tripadvisor.com%2FTourism-g46454-Frenchtown_New_Jersey-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3ddddce2-6524-4291-afaf-f005dd6653fc%5Bproduct_retailer_id%7C" TargetMode="External"/><Relationship Id="rId54" Type="http://schemas.openxmlformats.org/officeDocument/2006/relationships/hyperlink" Target="https://www.atlasobscura.com/places/neuschwanstein-castle" TargetMode="External"/><Relationship Id="rId160" Type="http://schemas.openxmlformats.org/officeDocument/2006/relationships/hyperlink" Target="https://go.redirectingat.com/?id=74968X1525077&amp;xs=1&amp;url=https%3A%2F%2Fwww.tripadvisor.com%2FTourism-g46278-Wolfeboro_New_Hampshire-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d9bf5ba5-c75f-4a1c-83bf-4daf5bc25428%5Bproduct_retailer_id%7C" TargetMode="External"/><Relationship Id="rId57" Type="http://schemas.openxmlformats.org/officeDocument/2006/relationships/hyperlink" Target="https://www.facebook.com/photo/?fbid=10225604724812339&amp;set=gm.4424579304267326" TargetMode="External"/><Relationship Id="rId56" Type="http://schemas.openxmlformats.org/officeDocument/2006/relationships/hyperlink" Target="https://en.wikipedia.org/wiki/Roman_Theatre_of_Orange" TargetMode="External"/><Relationship Id="rId159" Type="http://schemas.openxmlformats.org/officeDocument/2006/relationships/hyperlink" Target="https://go.redirectingat.com/?id=74968X1525077&amp;xs=1&amp;url=https%3A%2F%2Fwww.tripadvisor.com%2FTourism-g46132-Keene_New_Hampshire-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c4ecaf7c-b67f-47bc-bed5-480fd92aa74e%5Bproduct_retailer_id%7C" TargetMode="External"/><Relationship Id="rId59" Type="http://schemas.openxmlformats.org/officeDocument/2006/relationships/hyperlink" Target="https://www.seattlepi.com/lifestyle/food/article/where-to-eat-in-seattle-instead-of-willows-inn-16137018.php" TargetMode="External"/><Relationship Id="rId154" Type="http://schemas.openxmlformats.org/officeDocument/2006/relationships/hyperlink" Target="https://go.redirectingat.com/?id=74968X1525077&amp;xs=1&amp;url=https%3A%2F%2Fwww.tripadvisor.com%2FTourism-g60903-Frederick_Maryland-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375abb1-ff4f-4994-8151-f22714230860%5Bproduct_retailer_id%7C" TargetMode="External"/><Relationship Id="rId58" Type="http://schemas.openxmlformats.org/officeDocument/2006/relationships/hyperlink" Target="https://go.redirectingat.com/?id=74968X1525077&amp;xs=1&amp;url=https%3A%2F%2Fwww.tripadvisor.com%2FTourism-g60583-Hilo_Island_of_Hawaii_Hawaii-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17b7500-68da-41c8-a834-529f032b34f1%5Bproduct_retailer_id%7C" TargetMode="External"/><Relationship Id="rId153" Type="http://schemas.openxmlformats.org/officeDocument/2006/relationships/hyperlink" Target="https://go.redirectingat.com/?id=74968X1525077&amp;xs=1&amp;url=https%3A%2F%2Fwww.tripadvisor.com%2FTourism-g40586-Damariscotta_Maine-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6bf9bfcf-b3ad-4576-a48c-309e7945fbb1%5Bproduct_retailer_id%7C" TargetMode="External"/><Relationship Id="rId152" Type="http://schemas.openxmlformats.org/officeDocument/2006/relationships/hyperlink" Target="https://go.redirectingat.com/?id=74968X1525077&amp;xs=1&amp;url=https%3A%2F%2Fwww.tripadvisor.com%2FTourism-g40335-Natchitoches_Louisian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5e9b6818-8801-4e37-b401-47830fbe85f0%5Bproduct_retailer_id%7C" TargetMode="External"/><Relationship Id="rId151" Type="http://schemas.openxmlformats.org/officeDocument/2006/relationships/hyperlink" Target="https://go.redirectingat.com/?id=74968X1525077&amp;xs=1&amp;url=https%3A%2F%2Fwww.tripadvisor.com%2FTourism-g39163-Bardstown_Kentucky-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c8c5f641-c75c-4a59-b114-8b2b1c9e9259%5Bproduct_retailer_id%7C" TargetMode="External"/><Relationship Id="rId158" Type="http://schemas.openxmlformats.org/officeDocument/2006/relationships/hyperlink" Target="https://go.redirectingat.com/?id=74968X1525077&amp;xs=1&amp;url=https%3A%2F%2Fwww.tripadvisor.com%2FTourism-g44888-Sainte_Genevieve_Missouri-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652e134b-ebf9-4438-91b4-9de8220ac339%5Bproduct_retailer_id%7C" TargetMode="External"/><Relationship Id="rId157" Type="http://schemas.openxmlformats.org/officeDocument/2006/relationships/hyperlink" Target="https://go.redirectingat.com/?id=74968X1525077&amp;xs=1&amp;url=https%3A%2F%2Fwww.tripadvisor.com%2FTourism-g43706-Canton_Mississippi-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e1b6b575-d6f2-40ea-8d38-4b70beb31b96%5Bproduct_retailer_id%7C" TargetMode="External"/><Relationship Id="rId156" Type="http://schemas.openxmlformats.org/officeDocument/2006/relationships/hyperlink" Target="https://go.redirectingat.com/?id=74968X1525077&amp;xs=1&amp;url=https%3A%2F%2Fwww.tripadvisor.com%2FTourism-g43245-Lanesboro_Minnesota-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ac972bdd-9131-4c37-b5ea-5f0b3ccb155b%5Bproduct_retailer_id%7C" TargetMode="External"/><Relationship Id="rId155" Type="http://schemas.openxmlformats.org/officeDocument/2006/relationships/hyperlink" Target="https://go.redirectingat.com/?id=74968X1525077&amp;xs=1&amp;url=https%3A%2F%2Fwww.tripadvisor.com%2FTourism-g42252-Grand_Haven_Ottawa_County_Michigan-Vacations.html&amp;sref=https%3A%2F%2Fwww.esquire.com%2Flifestyle%2Fg35036575%2Fsmall-american-town-destinations%2F%3Futm_source%3Dfacebook_arb%26utm_medium%3Dcpm%26utm_campaign%3Darb_fb_esq_m_and_g35036575%26fbclid%3DIwAR3di_cgabySg_heFcy173qLloADUr2bYRBDZ5C-zrbKCdXiF8v1gx-Jusg&amp;xcust=%5Butm_source%7Cfacebook_arb%5Butm_campaign%7Carb_fb_esq_m_and_g35036575%5Butm_medium%7Ccpm%5Bgclid%7C%5Bmsclkid%7C%5Bfbclid%7CIwAR3di_cgabySg_heFcy173qLloADUr2bYRBDZ5C-zrbKCdXiF8v1gx-Jusg%5Brefdomain%7C%5Bcontent_id%7Cab5b57fb-33d2-4147-b572-61558df10f4d%5Bcontent_product_id%7Cb22eee43-3ed6-4d96-a0bb-cb888336119b%5Bproduct_retailer_id%7C" TargetMode="External"/><Relationship Id="rId107" Type="http://schemas.openxmlformats.org/officeDocument/2006/relationships/hyperlink" Target="https://parks.state.wa.us/505/Fort-Casey" TargetMode="External"/><Relationship Id="rId106" Type="http://schemas.openxmlformats.org/officeDocument/2006/relationships/hyperlink" Target="https://www.insider.com/abandoned-places-us-states-2018-4" TargetMode="External"/><Relationship Id="rId105" Type="http://schemas.openxmlformats.org/officeDocument/2006/relationships/hyperlink" Target="https://magazine.lensvid.com/article/fb/1318327108/mysterious-places-in-the-world-that-are-off-limits-to-everyone-and-why/" TargetMode="External"/><Relationship Id="rId104" Type="http://schemas.openxmlformats.org/officeDocument/2006/relationships/hyperlink" Target="https://magazine.lensvid.com/article/fb/1318327108/mysterious-places-in-the-world-that-are-off-limits-to-everyone-and-why/" TargetMode="External"/><Relationship Id="rId109" Type="http://schemas.openxmlformats.org/officeDocument/2006/relationships/hyperlink" Target="https://www.insider.com/abandoned-places-us-states-2018-4" TargetMode="External"/><Relationship Id="rId108" Type="http://schemas.openxmlformats.org/officeDocument/2006/relationships/hyperlink" Target="https://www.thrillist.com/lifestyle/seattle/abandoned-places-in-washington-to-explore" TargetMode="External"/><Relationship Id="rId103" Type="http://schemas.openxmlformats.org/officeDocument/2006/relationships/hyperlink" Target="https://www.atlasobscura.com/places/jeffrey-city-ghost-town" TargetMode="External"/><Relationship Id="rId102" Type="http://schemas.openxmlformats.org/officeDocument/2006/relationships/hyperlink" Target="https://magazine.lensvid.com/article/fb/1318327108/mysterious-places-in-the-world-that-are-off-limits-to-everyone-and-why/" TargetMode="External"/><Relationship Id="rId101" Type="http://schemas.openxmlformats.org/officeDocument/2006/relationships/hyperlink" Target="https://magazine.lensvid.com/article/fb/1318327108/mysterious-places-in-the-world-that-are-off-limits-to-everyone-and-why/" TargetMode="External"/><Relationship Id="rId100" Type="http://schemas.openxmlformats.org/officeDocument/2006/relationships/hyperlink" Target="https://www.insider.com/abandoned-places-us-states-2018-4" TargetMode="External"/><Relationship Id="rId211" Type="http://schemas.openxmlformats.org/officeDocument/2006/relationships/drawing" Target="../drawings/drawing1.xml"/><Relationship Id="rId210" Type="http://schemas.openxmlformats.org/officeDocument/2006/relationships/hyperlink" Target="https://magazine.lensvid.com/article/fb/1318327108/mysterious-places-in-the-world-that-are-off-limits-to-everyone-and-why/" TargetMode="External"/><Relationship Id="rId129" Type="http://schemas.openxmlformats.org/officeDocument/2006/relationships/hyperlink" Target="https://www.roadsideamerica.com/tip/1412" TargetMode="External"/><Relationship Id="rId128" Type="http://schemas.openxmlformats.org/officeDocument/2006/relationships/hyperlink" Target="https://magazine.lensvid.com/article/fb/1318327108/mysterious-places-in-the-world-that-are-off-limits-to-everyone-and-why/" TargetMode="External"/><Relationship Id="rId127" Type="http://schemas.openxmlformats.org/officeDocument/2006/relationships/hyperlink" Target="https://magazine.lensvid.com/article/fb/1318327108/mysterious-places-in-the-world-that-are-off-limits-to-everyone-and-why/" TargetMode="External"/><Relationship Id="rId126" Type="http://schemas.openxmlformats.org/officeDocument/2006/relationships/hyperlink" Target="https://www.insider.com/abandoned-places-us-states-2018-4" TargetMode="External"/><Relationship Id="rId121" Type="http://schemas.openxmlformats.org/officeDocument/2006/relationships/hyperlink" Target="https://www.thrillist.com/lifestyle/seattle/abandoned-places-in-washington-to-explore" TargetMode="External"/><Relationship Id="rId120" Type="http://schemas.openxmlformats.org/officeDocument/2006/relationships/hyperlink" Target="http://www.ghosttownsofwashington.com/govan.html" TargetMode="External"/><Relationship Id="rId125" Type="http://schemas.openxmlformats.org/officeDocument/2006/relationships/hyperlink" Target="https://www.youtube.com/watch?v=Qk_gx3CmACY" TargetMode="External"/><Relationship Id="rId124" Type="http://schemas.openxmlformats.org/officeDocument/2006/relationships/hyperlink" Target="https://secretseattle.co/spooky-towns-washington/" TargetMode="External"/><Relationship Id="rId123" Type="http://schemas.openxmlformats.org/officeDocument/2006/relationships/hyperlink" Target="https://www.insider.com/abandoned-places-us-states-2018-4" TargetMode="External"/><Relationship Id="rId122" Type="http://schemas.openxmlformats.org/officeDocument/2006/relationships/hyperlink" Target="https://www.thrillist.com/lifestyle/seattle/abandoned-places-in-washington-to-explore" TargetMode="External"/><Relationship Id="rId95" Type="http://schemas.openxmlformats.org/officeDocument/2006/relationships/hyperlink" Target="https://www.thrillist.com/lifestyle/seattle/abandoned-places-in-washington-to-explore" TargetMode="External"/><Relationship Id="rId94" Type="http://schemas.openxmlformats.org/officeDocument/2006/relationships/hyperlink" Target="https://www.historylink.org/file/9711" TargetMode="External"/><Relationship Id="rId97" Type="http://schemas.openxmlformats.org/officeDocument/2006/relationships/hyperlink" Target="https://www.thrillist.com/lifestyle/seattle/abandoned-places-in-washington-to-explore" TargetMode="External"/><Relationship Id="rId96" Type="http://schemas.openxmlformats.org/officeDocument/2006/relationships/hyperlink" Target="http://www.asylumprojects.org/index.php?title=Northern_State_Hospital" TargetMode="External"/><Relationship Id="rId99" Type="http://schemas.openxmlformats.org/officeDocument/2006/relationships/hyperlink" Target="https://magazine.lensvid.com/article/fb/1318327108/mysterious-places-in-the-world-that-are-off-limits-to-everyone-and-why/" TargetMode="External"/><Relationship Id="rId98" Type="http://schemas.openxmlformats.org/officeDocument/2006/relationships/hyperlink" Target="https://magazine.lensvid.com/article/fb/1318327108/mysterious-places-in-the-world-that-are-off-limits-to-everyone-and-why/" TargetMode="External"/><Relationship Id="rId91" Type="http://schemas.openxmlformats.org/officeDocument/2006/relationships/hyperlink" Target="https://www.atlasobscura.com/places/giant-chicken-chico-hot-springs" TargetMode="External"/><Relationship Id="rId90" Type="http://schemas.openxmlformats.org/officeDocument/2006/relationships/hyperlink" Target="https://www.thrillist.com/lifestyle/seattle/abandoned-places-in-washington-to-explore" TargetMode="External"/><Relationship Id="rId93" Type="http://schemas.openxmlformats.org/officeDocument/2006/relationships/hyperlink" Target="https://www.insider.com/abandoned-places-us-states-2018-4" TargetMode="External"/><Relationship Id="rId92" Type="http://schemas.openxmlformats.org/officeDocument/2006/relationships/hyperlink" Target="https://www.atlasobscura.com/places/neon-boneyard" TargetMode="External"/><Relationship Id="rId118" Type="http://schemas.openxmlformats.org/officeDocument/2006/relationships/hyperlink" Target="https://secretseattle.co/spooky-towns-washington/" TargetMode="External"/><Relationship Id="rId117" Type="http://schemas.openxmlformats.org/officeDocument/2006/relationships/hyperlink" Target="https://www.wta.org/go-hiking/hikes/melmont-ghost-town-hike?gclid=Cj0KCQiA7oyNBhDiARIsADtGRZYe2w89QyEF1TZ-DZXbdKZTlSt6jkS9acpqCXefxYLv1QelABuEj_caAlCkEALw_wcB" TargetMode="External"/><Relationship Id="rId116" Type="http://schemas.openxmlformats.org/officeDocument/2006/relationships/hyperlink" Target="https://www.insider.com/abandoned-places-us-states-2018-4" TargetMode="External"/><Relationship Id="rId115" Type="http://schemas.openxmlformats.org/officeDocument/2006/relationships/hyperlink" Target="https://secretseattle.co/fall-weekend-trips/" TargetMode="External"/><Relationship Id="rId119" Type="http://schemas.openxmlformats.org/officeDocument/2006/relationships/hyperlink" Target="https://en.wikipedia.org/wiki/Melmont,_Washington" TargetMode="External"/><Relationship Id="rId110" Type="http://schemas.openxmlformats.org/officeDocument/2006/relationships/hyperlink" Target="https://www.onlyinyourstate.com/missouri/indian-ridge-resort-mo/" TargetMode="External"/><Relationship Id="rId114" Type="http://schemas.openxmlformats.org/officeDocument/2006/relationships/hyperlink" Target="https://www.insider.com/abandoned-places-us-states-2018-4" TargetMode="External"/><Relationship Id="rId113" Type="http://schemas.openxmlformats.org/officeDocument/2006/relationships/hyperlink" Target="https://magazine.lensvid.com/article/fb/1318327108/mysterious-places-in-the-world-that-are-off-limits-to-everyone-and-why/" TargetMode="External"/><Relationship Id="rId112" Type="http://schemas.openxmlformats.org/officeDocument/2006/relationships/hyperlink" Target="https://www.insider.com/abandoned-places-us-states-2018-4" TargetMode="External"/><Relationship Id="rId111" Type="http://schemas.openxmlformats.org/officeDocument/2006/relationships/hyperlink" Target="https://magazine.lensvid.com/article/fb/1318327108/mysterious-places-in-the-world-that-are-off-limits-to-everyone-and-why/" TargetMode="External"/><Relationship Id="rId206" Type="http://schemas.openxmlformats.org/officeDocument/2006/relationships/hyperlink" Target="https://magazine.lensvid.com/article/fb/1318327108/mysterious-places-in-the-world-that-are-off-limits-to-everyone-and-why/" TargetMode="External"/><Relationship Id="rId205" Type="http://schemas.openxmlformats.org/officeDocument/2006/relationships/hyperlink" Target="https://magazine.lensvid.com/article/fb/1318327108/mysterious-places-in-the-world-that-are-off-limits-to-everyone-and-why/" TargetMode="External"/><Relationship Id="rId204" Type="http://schemas.openxmlformats.org/officeDocument/2006/relationships/hyperlink" Target="https://magazine.lensvid.com/article/fb/1318327108/mysterious-places-in-the-world-that-are-off-limits-to-everyone-and-why/" TargetMode="External"/><Relationship Id="rId203" Type="http://schemas.openxmlformats.org/officeDocument/2006/relationships/hyperlink" Target="https://magazine.lensvid.com/article/fb/1318327108/mysterious-places-in-the-world-that-are-off-limits-to-everyone-and-why/" TargetMode="External"/><Relationship Id="rId209" Type="http://schemas.openxmlformats.org/officeDocument/2006/relationships/hyperlink" Target="https://magazine.lensvid.com/article/fb/1318327108/mysterious-places-in-the-world-that-are-off-limits-to-everyone-and-why/" TargetMode="External"/><Relationship Id="rId208" Type="http://schemas.openxmlformats.org/officeDocument/2006/relationships/hyperlink" Target="https://magazine.lensvid.com/article/fb/1318327108/mysterious-places-in-the-world-that-are-off-limits-to-everyone-and-why/" TargetMode="External"/><Relationship Id="rId207" Type="http://schemas.openxmlformats.org/officeDocument/2006/relationships/hyperlink" Target="https://magazine.lensvid.com/article/fb/1318327108/mysterious-places-in-the-world-that-are-off-limits-to-everyone-and-why/" TargetMode="External"/><Relationship Id="rId202" Type="http://schemas.openxmlformats.org/officeDocument/2006/relationships/hyperlink" Target="https://magazine.lensvid.com/article/fb/1318327108/mysterious-places-in-the-world-that-are-off-limits-to-everyone-and-why/" TargetMode="External"/><Relationship Id="rId201" Type="http://schemas.openxmlformats.org/officeDocument/2006/relationships/hyperlink" Target="https://magazine.lensvid.com/article/fb/1318327108/mysterious-places-in-the-world-that-are-off-limits-to-everyone-and-why/" TargetMode="External"/><Relationship Id="rId200" Type="http://schemas.openxmlformats.org/officeDocument/2006/relationships/hyperlink" Target="https://chilloutmind.com/2022/03/23/incredible-graveyard-of-british-red-phone-boxes-tucked-away-next-to-surrey-railway-lin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whc.unesco.org/en/list/" TargetMode="External"/><Relationship Id="rId1" Type="http://schemas.openxmlformats.org/officeDocument/2006/relationships/hyperlink" Target="http://ghosttowns.com/" TargetMode="External"/><Relationship Id="rId2" Type="http://schemas.openxmlformats.org/officeDocument/2006/relationships/hyperlink" Target="https://www.busytourist.com/things-to-do-in-alaska/" TargetMode="External"/><Relationship Id="rId3" Type="http://schemas.openxmlformats.org/officeDocument/2006/relationships/hyperlink" Target="https://lindaontherun.com/towns-in-alaska/" TargetMode="External"/><Relationship Id="rId4" Type="http://schemas.openxmlformats.org/officeDocument/2006/relationships/hyperlink" Target="https://www.youtube.com/watch?v=Qk_gx3CmACY" TargetMode="External"/><Relationship Id="rId9" Type="http://schemas.openxmlformats.org/officeDocument/2006/relationships/hyperlink" Target="https://secretseattle.co/spooky-towns-washington/" TargetMode="External"/><Relationship Id="rId5" Type="http://schemas.openxmlformats.org/officeDocument/2006/relationships/hyperlink" Target="https://www.thrillist.com/lifestyle/seattle/abandoned-places-in-washington-to-explore" TargetMode="External"/><Relationship Id="rId6" Type="http://schemas.openxmlformats.org/officeDocument/2006/relationships/hyperlink" Target="https://www.onlyinyourstate.com/washington/weekend-escape-small-towns-in-wa/" TargetMode="External"/><Relationship Id="rId7" Type="http://schemas.openxmlformats.org/officeDocument/2006/relationships/hyperlink" Target="https://www.roughguides.com/articles/ghost-town-humberstone-chile/" TargetMode="External"/><Relationship Id="rId8" Type="http://schemas.openxmlformats.org/officeDocument/2006/relationships/hyperlink" Target="https://www.atlasobscura.com/places?page=2&amp;sort=likes_coun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eringair.com/flight-schedule/"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45.88"/>
    <col customWidth="1" min="3" max="4" width="27.63"/>
    <col customWidth="1" hidden="1" min="5" max="5" width="44.5"/>
    <col customWidth="1" hidden="1" min="6" max="6" width="28.5"/>
    <col customWidth="1" hidden="1" min="7" max="7" width="9.88"/>
    <col customWidth="1" hidden="1" min="8" max="8" width="27.0"/>
    <col customWidth="1" hidden="1" min="9" max="9" width="17.75"/>
    <col customWidth="1" hidden="1" min="10" max="10" width="25.13"/>
    <col customWidth="1" hidden="1" min="11" max="11" width="13.75"/>
    <col customWidth="1" hidden="1" min="12" max="13" width="25.13"/>
    <col customWidth="1" hidden="1" min="14" max="15" width="8.5"/>
    <col customWidth="1" hidden="1" min="16" max="16" width="25.13"/>
    <col customWidth="1" hidden="1" min="17" max="17" width="20.5"/>
    <col customWidth="1" hidden="1" min="18" max="18" width="11.0"/>
    <col customWidth="1" hidden="1" min="19" max="19" width="34.88"/>
    <col customWidth="1" hidden="1" min="20" max="21" width="11.75"/>
    <col customWidth="1" min="22" max="22" width="11.13"/>
    <col customWidth="1" min="31" max="31" width="17.0"/>
    <col customWidth="1" min="32" max="32" width="28.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 r="A2" s="3" t="s">
        <v>32</v>
      </c>
      <c r="B2" s="4" t="s">
        <v>33</v>
      </c>
      <c r="C2" s="4" t="s">
        <v>34</v>
      </c>
      <c r="D2" s="4" t="s">
        <v>35</v>
      </c>
      <c r="E2" s="5"/>
      <c r="F2" s="4" t="s">
        <v>36</v>
      </c>
      <c r="G2" s="6" t="str">
        <f t="shared" ref="G2:G335" si="1">HYPERLINK(CONCAT("https://www.google.com/maps/search/",F2),"Link")</f>
        <v>Link</v>
      </c>
      <c r="H2" s="3" t="s">
        <v>37</v>
      </c>
      <c r="I2" s="7" t="str">
        <f t="shared" ref="I2:I335" si="2">getCacheString(concat("GMPD|",F2))</f>
        <v>{"distance_from":{"mi":{"driving":{"2116 4th Ave, Seattle, WA, 98121":"GOOGLE_MAPS_ERROR_CACHED - No route found!"},"flying":{"2116 4th Ave, Seattle, WA, 98121":2442.586401879031}}},"address_components":[{"types":[],"long_name":"Torngat Mountains","short_name":""},{"long_name":"Torngat Mountains National Park","types":["establishment","park","point_of_interest","tourist_attraction"],"short_name":"Torngat Mountains National Park"},{"types":["locality","political"],"long_name":"Nain","short_name":"Nain"},{"short_name":"NL","types":["administrative_area_level_1","political"],"long_name":"Newfoundland and Labrador"},{"long_name":"Canada","short_name":"CA","types":["country","political"]},{"long_name":"A0P 1L0","types":["postal_code"],"short_name":"A0P 1L0"},{"types":["plus_code"],"long_name":"97FR62F4+RM","short_name":"97FR62F4+RM"},{"types":["latitude"],"long_name":59.22460509999999,"short_name":59.22460509999999},{"types":["longitude"],"long_name":-63.99337480000001,"short_name":-63.99337480000001}],"duration_from":{"days":{"driving":{"2116 4th Ave, Seattle, WA, 98121":"GOOGLE_MAPS_ERROR_CACHED - No route found!"}}}}</v>
      </c>
      <c r="J2" s="8" t="str">
        <f t="shared" ref="J2:J335" si="3">GOOGLEMAPS_GET_ADDRESS_COMPONENTS_STRING(F2,false)</f>
        <v>[{"types":[],"long_name":"Torngat Mountains","short_name":""},{"long_name":"Torngat Mountains National Park","types":["establishment","park","point_of_interest","tourist_attraction"],"short_name":"Torngat Mountains National Park"},{"types":["locality","political"],"long_name":"Nain","short_name":"Nain"},{"short_name":"NL","types":["administrative_area_level_1","political"],"long_name":"Newfoundland and Labrador"},{"long_name":"Canada","short_name":"CA","types":["country","political"]},{"long_name":"A0P 1L0","types":["postal_code"],"short_name":"A0P 1L0"},{"types":["plus_code"],"long_name":"97FR62F4+RM","short_name":"97FR62F4+RM"},{"types":["latitude"],"long_name":59.22460509999999,"short_name":59.22460509999999},{"types":["longitude"],"long_name":-63.99337480000001,"short_name":-63.99337480000001},{"types":["debug_info","cache_load_result"],"long_name":"hit","short_name":"hit"}]</v>
      </c>
      <c r="K2" s="9" t="b">
        <f>NOT(AND(NOT(_xlfn.ISFORMULA(P2)),AND(NOT(_xlfn.ISFORMULA(Q2)),AND(NOT(_xlfn.ISFORMULA(R2)),AND(NOT(_xlfn.ISFORMULA(S2)),AND(NOT(_xlfn.ISFORMULA(T2)),AND(NOT(_xlfn.ISFORMULA(U2)),AND(NOT(_xlfn.ISFORMULA(V2))))))))))</f>
        <v>1</v>
      </c>
      <c r="L2" s="8" t="b">
        <f t="shared" ref="L2:L335" si="4">iferror(SEARCH(P2,F2),-1)&gt;=0</f>
        <v>0</v>
      </c>
      <c r="M2" s="10" t="b">
        <v>1</v>
      </c>
      <c r="N2" s="8">
        <f>GOOGLEMAPS_GET_ADDRESS_LATITUDE(F2,true)</f>
        <v>59.2246051</v>
      </c>
      <c r="O2" s="8">
        <f>GOOGLEMAPS_GET_ADDRESS_LONGITUDE(F2,true)</f>
        <v>-63.9933748</v>
      </c>
      <c r="P2" s="8" t="str">
        <f>GOOGLEMAPS_GET_ADDRESS_CITY(F2,true,false)</f>
        <v>Nain</v>
      </c>
      <c r="Q2" s="8" t="str">
        <f>GOOGLEMAPS_GET_ADDRESS_STATE(F2,true,false)</f>
        <v>Newfoundland and Labrador</v>
      </c>
      <c r="R2" s="8" t="str">
        <f>GOOGLEMAPS_GET_ADDRESS_POSTAL_CODE(F2,false,false)</f>
        <v>A0P 1L0</v>
      </c>
      <c r="S2" s="8" t="str">
        <f>GOOGLEMAPS_GET_ADDRESS_COUNTRY(F2,true,false)</f>
        <v>Canada</v>
      </c>
      <c r="T2" s="11" t="str">
        <f>IFERROR(GOOGLEMAPS_DISTANCE("2116 4th Ave, Seattle, WA, 98121", F2, "driving")+0,"Not Driveable")</f>
        <v>Not Driveable</v>
      </c>
      <c r="U2" s="12" t="str">
        <f>iferror(GOOGLEMAPS_DURATION("2116 4th Ave, Seattle, WA, 98121", F2, "driving")+0,"Not Driveable")</f>
        <v>Not Driveable</v>
      </c>
      <c r="V2" s="13">
        <f>GOOGLEMAPS_DISTANCE("2116 4th Ave, Seattle, WA, 98121", F2, "flying")+0</f>
        <v>2442.586402</v>
      </c>
      <c r="X2" s="4" t="str">
        <f t="shared" ref="X2:X219" si="5">if(W2="YES","UNKNOWN","N/A")</f>
        <v>N/A</v>
      </c>
      <c r="Z2" s="4" t="s">
        <v>38</v>
      </c>
      <c r="AB2" s="14" t="s">
        <v>39</v>
      </c>
    </row>
    <row r="3" hidden="1">
      <c r="A3" s="3" t="s">
        <v>32</v>
      </c>
      <c r="B3" s="4" t="s">
        <v>40</v>
      </c>
      <c r="C3" s="4" t="s">
        <v>41</v>
      </c>
      <c r="D3" s="4" t="s">
        <v>42</v>
      </c>
      <c r="E3" s="3" t="s">
        <v>43</v>
      </c>
      <c r="F3" s="4" t="s">
        <v>44</v>
      </c>
      <c r="G3" s="6" t="str">
        <f t="shared" si="1"/>
        <v>Link</v>
      </c>
      <c r="H3" s="3" t="s">
        <v>45</v>
      </c>
      <c r="I3" s="8" t="str">
        <f t="shared" si="2"/>
        <v>{"address_components":[{"short_name":"Centralia","types":["locality","political"],"long_name":"Centralia"},{"long_name":"Columbia County","short_name":"Columbia County","types":["administrative_area_level_2","political"]},{"long_name":"Pennsylvania","types":["administrative_area_level_1","political"],"short_name":"PA"},{"short_name":"US","types":["country","political"],"long_name":"United States"},{"long_name":"422","short_name":"422","types":["street_number"]},{"long_name":"Locust Avenue","types":["route"],"short_name":"Locust Ave"},{"short_name":"Aristes","long_name":"Aristes","types":["locality","political"]},{"short_name":"Columbia County","long_name":"Columbia County","types":["administrative_area_level_2","political"]},{"short_name":"PA","types":["administrative_area_level_1","political"],"long_name":"Pennsylvania"},{"short_name":"US","types":["country","political"],"long_name":"United States"},{"short_name":"17920","types":["postal_code"],"long_name":"17920"},{"types":["latitude"],"long_name":40.8042541,"short_name":40.8042541},{"types":["longitude"],"long_name":-76.3405035,"short_name":-76.3405035}]}</v>
      </c>
      <c r="J3" s="8" t="str">
        <f t="shared" si="3"/>
        <v>[{"short_name":"Centralia","types":["locality","political"],"long_name":"Centralia"},{"long_name":"Columbia County","short_name":"Columbia County","types":["administrative_area_level_2","political"]},{"long_name":"Pennsylvania","types":["administrative_area_level_1","political"],"short_name":"PA"},{"short_name":"US","types":["country","political"],"long_name":"United States"},{"long_name":"422","short_name":"422","types":["street_number"]},{"long_name":"Locust Avenue","types":["route"],"short_name":"Locust Ave"},{"short_name":"Aristes","long_name":"Aristes","types":["locality","political"]},{"short_name":"Columbia County","long_name":"Columbia County","types":["administrative_area_level_2","political"]},{"short_name":"PA","types":["administrative_area_level_1","political"],"long_name":"Pennsylvania"},{"short_name":"US","types":["country","political"],"long_name":"United States"},{"short_name":"17920","types":["postal_code"],"long_name":"17920"},{"types":["latitude"],"long_name":40.8042541,"short_name":40.8042541},{"types":["longitude"],"long_name":-76.3405035,"short_name":-76.3405035},{"types":["debug_info","cache_load_result"],"long_name":"hit","short_name":"hit"}]</v>
      </c>
      <c r="K3" s="9" t="b">
        <f>NOT(AND(NOT(_xlfn.ISFORMULA(P3)),AND(NOT(_xlfn.ISFORMULA(Q3)),AND(NOT(_xlfn.ISFORMULA(R3)),AND(NOT(_xlfn.ISFORMULA(S3)),AND(NOT(_xlfn.ISFORMULA(T3)),AND(NOT(_xlfn.ISFORMULA(U3)),AND(NOT(_xlfn.ISFORMULA(V3)),AND(NOT(_xlfn.ISFORMULA(N3)),NOT(_xlfn.ISFORMULA(O3)))))))))))</f>
        <v>0</v>
      </c>
      <c r="L3" s="8" t="b">
        <f t="shared" si="4"/>
        <v>1</v>
      </c>
      <c r="M3" s="10" t="b">
        <v>1</v>
      </c>
      <c r="N3" s="10">
        <v>40.8042541</v>
      </c>
      <c r="O3" s="10">
        <v>-76.3405035</v>
      </c>
      <c r="P3" s="15" t="s">
        <v>40</v>
      </c>
      <c r="Q3" s="15" t="s">
        <v>46</v>
      </c>
      <c r="R3" s="15">
        <v>17920.0</v>
      </c>
      <c r="S3" s="15" t="s">
        <v>47</v>
      </c>
      <c r="T3" s="16">
        <v>2720.0</v>
      </c>
      <c r="U3" s="17">
        <v>1.6646759259259258</v>
      </c>
      <c r="V3" s="18">
        <v>2291.26</v>
      </c>
      <c r="W3" s="4"/>
      <c r="X3" s="4" t="str">
        <f t="shared" si="5"/>
        <v>N/A</v>
      </c>
      <c r="Y3" s="4"/>
      <c r="Z3" s="4" t="s">
        <v>38</v>
      </c>
      <c r="AE3" s="4"/>
      <c r="AF3" s="4" t="s">
        <v>48</v>
      </c>
    </row>
    <row r="4">
      <c r="A4" s="3" t="s">
        <v>32</v>
      </c>
      <c r="B4" s="4" t="s">
        <v>49</v>
      </c>
      <c r="C4" s="4" t="s">
        <v>50</v>
      </c>
      <c r="D4" s="4"/>
      <c r="E4" s="3" t="s">
        <v>43</v>
      </c>
      <c r="F4" s="4" t="s">
        <v>51</v>
      </c>
      <c r="G4" s="6" t="str">
        <f t="shared" si="1"/>
        <v>Link</v>
      </c>
      <c r="H4" s="3" t="s">
        <v>37</v>
      </c>
      <c r="I4" s="8" t="str">
        <f t="shared" si="2"/>
        <v>{"distance_from":{"mi":{"flying":{"2116 4th Ave, Seattle, WA, 98121":3920.1623025588133},"driving":{"2116 4th Ave, Seattle, WA, 98121":"GOOGLE_MAPS_ERROR_CACHED - No route found!"}}},"address_components":[{"short_name":"Lake Maracaibo","types":["establishment","natural_feature"],"long_name":"Lake Maracaibo"},{"long_name":"Venezuela","short_name":"VE","types":["country","political"]},{"long_name":"772C2CHF+46","short_name":"772C2CHF+46","types":["plus_code"]},{"types":["latitude"],"long_name":10.0278,"short_name":10.0278},{"types":["longitude"],"long_name":-71.5769,"short_name":-71.5769}],"duration_from":{"days":{"driving":{"2116 4th Ave, Seattle, WA, 98121":"GOOGLE_MAPS_ERROR_CACHED - No route found!"}}}}</v>
      </c>
      <c r="J4" s="8" t="str">
        <f t="shared" si="3"/>
        <v>[{"short_name":"Lake Maracaibo","types":["establishment","natural_feature"],"long_name":"Lake Maracaibo"},{"long_name":"Venezuela","short_name":"VE","types":["country","political"]},{"long_name":"772C2CHF+46","short_name":"772C2CHF+46","types":["plus_code"]},{"types":["latitude"],"long_name":10.0278,"short_name":10.0278},{"types":["longitude"],"long_name":-71.5769,"short_name":-71.5769},{"types":["debug_info","cache_load_result"],"long_name":"hit","short_name":"hit"}]</v>
      </c>
      <c r="K4" s="9" t="b">
        <f>NOT(AND(NOT(_xlfn.ISFORMULA(P4)),AND(NOT(_xlfn.ISFORMULA(Q4)),AND(NOT(_xlfn.ISFORMULA(R4)),AND(NOT(_xlfn.ISFORMULA(S4)),AND(NOT(_xlfn.ISFORMULA(T4)),AND(NOT(_xlfn.ISFORMULA(U4)),AND(NOT(_xlfn.ISFORMULA(V4))))))))))</f>
        <v>1</v>
      </c>
      <c r="L4" s="8" t="b">
        <f t="shared" si="4"/>
        <v>0</v>
      </c>
      <c r="M4" s="10" t="b">
        <v>1</v>
      </c>
      <c r="N4" s="8">
        <f>GOOGLEMAPS_GET_ADDRESS_LATITUDE(F4,true)</f>
        <v>10.0278</v>
      </c>
      <c r="O4" s="8">
        <f>GOOGLEMAPS_GET_ADDRESS_LONGITUDE(F4,true)</f>
        <v>-71.5769</v>
      </c>
      <c r="P4" s="8" t="str">
        <f>GOOGLEMAPS_GET_ADDRESS_CITY(F4,true,false)</f>
        <v>UNDEFINED</v>
      </c>
      <c r="Q4" s="8" t="str">
        <f>GOOGLEMAPS_GET_ADDRESS_STATE(F4,true,false)</f>
        <v>UNDEFINED</v>
      </c>
      <c r="R4" s="8" t="str">
        <f>GOOGLEMAPS_GET_ADDRESS_POSTAL_CODE(F4,false,false)</f>
        <v>UNDEFINED</v>
      </c>
      <c r="S4" s="8" t="str">
        <f>GOOGLEMAPS_GET_ADDRESS_COUNTRY(F4,true,false)</f>
        <v>Venezuela</v>
      </c>
      <c r="T4" s="11" t="str">
        <f>IFERROR(GOOGLEMAPS_DISTANCE("2116 4th Ave, Seattle, WA, 98121", F4, "driving")+0,"Not Driveable")</f>
        <v>Not Driveable</v>
      </c>
      <c r="U4" s="12" t="str">
        <f>iferror(GOOGLEMAPS_DURATION("2116 4th Ave, Seattle, WA, 98121", F4, "driving")+0,"Not Driveable")</f>
        <v>Not Driveable</v>
      </c>
      <c r="V4" s="13">
        <f>GOOGLEMAPS_DISTANCE("2116 4th Ave, Seattle, WA, 98121", F4, "flying")+0</f>
        <v>3920.162303</v>
      </c>
      <c r="W4" s="4"/>
      <c r="X4" s="4" t="str">
        <f t="shared" si="5"/>
        <v>N/A</v>
      </c>
      <c r="Y4" s="4"/>
      <c r="Z4" s="4" t="s">
        <v>38</v>
      </c>
    </row>
    <row r="5">
      <c r="A5" s="3" t="s">
        <v>32</v>
      </c>
      <c r="B5" s="4" t="s">
        <v>52</v>
      </c>
      <c r="C5" s="4"/>
      <c r="D5" s="4"/>
      <c r="E5" s="3" t="s">
        <v>43</v>
      </c>
      <c r="F5" s="4" t="s">
        <v>52</v>
      </c>
      <c r="G5" s="6" t="str">
        <f t="shared" si="1"/>
        <v>Link</v>
      </c>
      <c r="H5" s="3" t="s">
        <v>37</v>
      </c>
      <c r="I5" s="8" t="str">
        <f t="shared" si="2"/>
        <v>{"address_components":[{"long_name":"Faroe Islands","types":["country","political"],"short_name":"FO"},{"short_name":"V3VQ+37","long_name":"V3VQ+37","types":["plus_code"]},{"long_name":"Skopun","types":["locality","political"],"short_name":"Skopun"},{"short_name":"Sandoy","long_name":"Sandoy","types":["administrative_area_level_1","political"]},{"types":["country","political"],"long_name":"Faroe Islands","short_name":"FO"},{"types":["latitude"],"long_name":61.89263500000001,"short_name":61.89263500000001},{"types":["longitude"],"long_name":-6.911805999999999,"short_name":-6.911805999999999}]}</v>
      </c>
      <c r="J5" s="8" t="str">
        <f t="shared" si="3"/>
        <v>[{"long_name":"Faroe Islands","types":["country","political"],"short_name":"FO"},{"short_name":"V3VQ+37","long_name":"V3VQ+37","types":["plus_code"]},{"long_name":"Skopun","types":["locality","political"],"short_name":"Skopun"},{"short_name":"Sandoy","long_name":"Sandoy","types":["administrative_area_level_1","political"]},{"types":["country","political"],"long_name":"Faroe Islands","short_name":"FO"},{"types":["latitude"],"long_name":61.89263500000001,"short_name":61.89263500000001},{"types":["longitude"],"long_name":-6.911805999999999,"short_name":-6.911805999999999},{"types":["debug_info","cache_load_result"],"long_name":"hit","short_name":"hit"}]</v>
      </c>
      <c r="K5" s="9" t="b">
        <f>NOT(AND(NOT(_xlfn.ISFORMULA(P5)),AND(NOT(_xlfn.ISFORMULA(Q5)),AND(NOT(_xlfn.ISFORMULA(R5)),AND(NOT(_xlfn.ISFORMULA(S5)),AND(NOT(_xlfn.ISFORMULA(T5)),AND(NOT(_xlfn.ISFORMULA(U5)),AND(NOT(_xlfn.ISFORMULA(V5)),AND(NOT(_xlfn.ISFORMULA(N5)),NOT(_xlfn.ISFORMULA(O5)))))))))))</f>
        <v>0</v>
      </c>
      <c r="L5" s="8" t="b">
        <f t="shared" si="4"/>
        <v>0</v>
      </c>
      <c r="M5" s="10" t="b">
        <v>1</v>
      </c>
      <c r="N5" s="10">
        <v>61.892635</v>
      </c>
      <c r="O5" s="10">
        <v>-6.911806</v>
      </c>
      <c r="P5" s="10" t="s">
        <v>53</v>
      </c>
      <c r="Q5" s="10" t="s">
        <v>54</v>
      </c>
      <c r="R5" s="10" t="s">
        <v>55</v>
      </c>
      <c r="S5" s="10" t="s">
        <v>52</v>
      </c>
      <c r="T5" s="19" t="s">
        <v>56</v>
      </c>
      <c r="U5" s="19" t="s">
        <v>56</v>
      </c>
      <c r="V5" s="18">
        <v>4076.06</v>
      </c>
      <c r="W5" s="4"/>
      <c r="X5" s="4" t="str">
        <f t="shared" si="5"/>
        <v>N/A</v>
      </c>
      <c r="Y5" s="4"/>
      <c r="Z5" s="4" t="s">
        <v>38</v>
      </c>
    </row>
    <row r="6">
      <c r="A6" s="3" t="s">
        <v>32</v>
      </c>
      <c r="B6" s="4" t="s">
        <v>57</v>
      </c>
      <c r="C6" s="4"/>
      <c r="D6" s="4"/>
      <c r="E6" s="3" t="s">
        <v>43</v>
      </c>
      <c r="F6" s="4" t="s">
        <v>58</v>
      </c>
      <c r="G6" s="6" t="str">
        <f t="shared" si="1"/>
        <v>Link</v>
      </c>
      <c r="H6" s="3" t="s">
        <v>37</v>
      </c>
      <c r="I6" s="8" t="str">
        <f t="shared" si="2"/>
        <v>{"address_components":[{"long_name":"Skye","short_name":"Skye","types":["establishment","natural_feature"]},{"short_name":"Highland Council","types":["administrative_area_level_2","political"],"long_name":"Highland Council"},{"short_name":"Scotland","types":["administrative_area_level_1","political"],"long_name":"Scotland"},{"types":["country","political"],"long_name":"United Kingdom","short_name":"GB"},{"types":["plus_code"],"long_name":"7QFM+FQ","short_name":"7QFM+FQ"},{"types":["locality","political"],"long_name":"Sligachan","short_name":"Sligachan"},{"short_name":"Isle of Skye","long_name":"Isle of Skye","types":["postal_town"]},{"long_name":"Highland Council","short_name":"Highland Council","types":["administrative_area_level_2","political"]},{"long_name":"Scotland","short_name":"Scotland","types":["administrative_area_level_1","political"]},{"long_name":"United Kingdom","short_name":"GB","types":["country","political"]},{"long_name":"IV47 8SW","short_name":"IV47 8SW","types":["postal_code"]},{"types":["latitude"],"long_name":57.2736278,"short_name":57.2736278},{"types":["longitude"],"long_name":-6.2155022,"short_name":-6.2155022}],"distance_from":{"mi":{"flying":{"2116 4th Ave, Seattle, WA, 98121":4322.158773161669},"driving":{"2116 4th Ave, Seattle, WA, 98121":"GOOGLE_MAPS_ERROR_CACHED - No route found!"}}},"duration_from":{"days":{"driving":{"2116 4th Ave, Seattle, WA, 98121":"GOOGLE_MAPS_ERROR_CACHED - No route found!"}}}}</v>
      </c>
      <c r="J6" s="8" t="str">
        <f t="shared" si="3"/>
        <v>[{"long_name":"Skye","short_name":"Skye","types":["establishment","natural_feature"]},{"short_name":"Highland Council","types":["administrative_area_level_2","political"],"long_name":"Highland Council"},{"short_name":"Scotland","types":["administrative_area_level_1","political"],"long_name":"Scotland"},{"types":["country","political"],"long_name":"United Kingdom","short_name":"GB"},{"types":["plus_code"],"long_name":"7QFM+FQ","short_name":"7QFM+FQ"},{"types":["locality","political"],"long_name":"Sligachan","short_name":"Sligachan"},{"short_name":"Isle of Skye","long_name":"Isle of Skye","types":["postal_town"]},{"long_name":"Highland Council","short_name":"Highland Council","types":["administrative_area_level_2","political"]},{"long_name":"Scotland","short_name":"Scotland","types":["administrative_area_level_1","political"]},{"long_name":"United Kingdom","short_name":"GB","types":["country","political"]},{"long_name":"IV47 8SW","short_name":"IV47 8SW","types":["postal_code"]},{"types":["latitude"],"long_name":57.2736278,"short_name":57.2736278},{"types":["longitude"],"long_name":-6.2155022,"short_name":-6.2155022},{"types":["debug_info","cache_load_result"],"long_name":"hit","short_name":"hit"}]</v>
      </c>
      <c r="K6" s="9" t="b">
        <f>NOT(AND(NOT(_xlfn.ISFORMULA(P6)),AND(NOT(_xlfn.ISFORMULA(Q6)),AND(NOT(_xlfn.ISFORMULA(R6)),AND(NOT(_xlfn.ISFORMULA(S6)),AND(NOT(_xlfn.ISFORMULA(T6)),AND(NOT(_xlfn.ISFORMULA(U6)),AND(NOT(_xlfn.ISFORMULA(V6))))))))))</f>
        <v>1</v>
      </c>
      <c r="L6" s="8" t="b">
        <f t="shared" si="4"/>
        <v>0</v>
      </c>
      <c r="M6" s="10" t="b">
        <v>1</v>
      </c>
      <c r="N6" s="8">
        <f>GOOGLEMAPS_GET_ADDRESS_LATITUDE(F6,true)</f>
        <v>57.2736278</v>
      </c>
      <c r="O6" s="8">
        <f>GOOGLEMAPS_GET_ADDRESS_LONGITUDE(F6,true)</f>
        <v>-6.2155022</v>
      </c>
      <c r="P6" s="8" t="str">
        <f>GOOGLEMAPS_GET_ADDRESS_CITY(F6,true,false)</f>
        <v>Sligachan</v>
      </c>
      <c r="Q6" s="8" t="str">
        <f>GOOGLEMAPS_GET_ADDRESS_STATE(F6,true,false)</f>
        <v>Scotland</v>
      </c>
      <c r="R6" s="8" t="str">
        <f>GOOGLEMAPS_GET_ADDRESS_POSTAL_CODE(F6,false,false)</f>
        <v>IV47 8SW</v>
      </c>
      <c r="S6" s="8" t="str">
        <f>GOOGLEMAPS_GET_ADDRESS_COUNTRY(F6,true,false)</f>
        <v>United Kingdom</v>
      </c>
      <c r="T6" s="11" t="str">
        <f>IFERROR(GOOGLEMAPS_DISTANCE("2116 4th Ave, Seattle, WA, 98121", F6, "driving")+0,"Not Driveable")</f>
        <v>Not Driveable</v>
      </c>
      <c r="U6" s="12" t="str">
        <f>iferror(GOOGLEMAPS_DURATION("2116 4th Ave, Seattle, WA, 98121", F6, "driving")+0,"Not Driveable")</f>
        <v>Not Driveable</v>
      </c>
      <c r="V6" s="13">
        <f>GOOGLEMAPS_DISTANCE("2116 4th Ave, Seattle, WA, 98121", F6, "flying")+0</f>
        <v>4322.158773</v>
      </c>
      <c r="W6" s="4"/>
      <c r="X6" s="4" t="str">
        <f t="shared" si="5"/>
        <v>N/A</v>
      </c>
      <c r="Y6" s="4"/>
      <c r="Z6" s="4" t="s">
        <v>38</v>
      </c>
    </row>
    <row r="7">
      <c r="A7" s="3" t="s">
        <v>32</v>
      </c>
      <c r="B7" s="4" t="s">
        <v>59</v>
      </c>
      <c r="C7" s="4"/>
      <c r="D7" s="4"/>
      <c r="E7" s="3" t="s">
        <v>43</v>
      </c>
      <c r="F7" s="4" t="s">
        <v>60</v>
      </c>
      <c r="G7" s="6" t="str">
        <f t="shared" si="1"/>
        <v>Link</v>
      </c>
      <c r="H7" s="3" t="s">
        <v>37</v>
      </c>
      <c r="I7" s="8" t="str">
        <f t="shared" si="2"/>
        <v>{"address_components":[{"long_name":"Princetown","short_name":"Princetown","types":["locality","political"]},{"long_name":"Yelverton","types":["postal_town"],"short_name":"Yelverton"},{"short_name":"Devon","types":["administrative_area_level_2","political"],"long_name":"Devon"},{"long_name":"England","types":["administrative_area_level_1","political"],"short_name":"England"},{"long_name":"United Kingdom","short_name":"GB","types":["country","political"]},{"short_name":"PL20","types":["postal_code","postal_code_prefix"],"long_name":"PL20"},{"long_name":"Railway Inn","types":["premise"],"short_name":"Railway Inn"},{"types":["route"],"long_name":"Two Bridges Road","short_name":"Two Bridges Rd"},{"short_name":"Princetown","long_name":"Princetown","types":["locality","political"]},{"long_name":"Yelverton","types":["postal_town"],"short_name":"Yelverton"},{"long_name":"Devon","short_name":"Devon","types":["administrative_area_level_2","political"]},{"long_name":"England","short_name":"England","types":["administrative_area_level_1","political"]},{"long_name":"United Kingdom","short_name":"GB","types":["country","political"]},{"long_name":"PL20 6QT","short_name":"PL20 6QT","types":["postal_code"]},{"types":["latitude"],"long_name":50.54412920000001,"short_name":50.54412920000001},{"types":["longitude"],"long_name":-3.9905352,"short_name":-3.9905352}]}</v>
      </c>
      <c r="J7" s="8" t="str">
        <f t="shared" si="3"/>
        <v>[{"long_name":"Princetown","short_name":"Princetown","types":["locality","political"]},{"long_name":"Yelverton","types":["postal_town"],"short_name":"Yelverton"},{"short_name":"Devon","types":["administrative_area_level_2","political"],"long_name":"Devon"},{"long_name":"England","types":["administrative_area_level_1","political"],"short_name":"England"},{"long_name":"United Kingdom","short_name":"GB","types":["country","political"]},{"short_name":"PL20","types":["postal_code","postal_code_prefix"],"long_name":"PL20"},{"long_name":"Railway Inn","types":["premise"],"short_name":"Railway Inn"},{"types":["route"],"long_name":"Two Bridges Road","short_name":"Two Bridges Rd"},{"short_name":"Princetown","long_name":"Princetown","types":["locality","political"]},{"long_name":"Yelverton","types":["postal_town"],"short_name":"Yelverton"},{"long_name":"Devon","short_name":"Devon","types":["administrative_area_level_2","political"]},{"long_name":"England","short_name":"England","types":["administrative_area_level_1","political"]},{"long_name":"United Kingdom","short_name":"GB","types":["country","political"]},{"long_name":"PL20 6QT","short_name":"PL20 6QT","types":["postal_code"]},{"types":["latitude"],"long_name":50.54412920000001,"short_name":50.54412920000001},{"types":["longitude"],"long_name":-3.9905352,"short_name":-3.9905352},{"types":["debug_info","cache_load_result"],"long_name":"hit","short_name":"hit"}]</v>
      </c>
      <c r="K7" s="9" t="b">
        <f t="shared" ref="K7:K10" si="6">NOT(AND(NOT(_xlfn.ISFORMULA(P7)),AND(NOT(_xlfn.ISFORMULA(Q7)),AND(NOT(_xlfn.ISFORMULA(R7)),AND(NOT(_xlfn.ISFORMULA(S7)),AND(NOT(_xlfn.ISFORMULA(T7)),AND(NOT(_xlfn.ISFORMULA(U7)),AND(NOT(_xlfn.ISFORMULA(V7)),AND(NOT(_xlfn.ISFORMULA(N7)),NOT(_xlfn.ISFORMULA(O7)))))))))))</f>
        <v>0</v>
      </c>
      <c r="L7" s="8" t="b">
        <f t="shared" si="4"/>
        <v>1</v>
      </c>
      <c r="M7" s="10" t="b">
        <v>1</v>
      </c>
      <c r="N7" s="10">
        <v>50.5457676</v>
      </c>
      <c r="O7" s="10">
        <v>-3.9883076</v>
      </c>
      <c r="P7" s="10" t="s">
        <v>61</v>
      </c>
      <c r="Q7" s="10" t="s">
        <v>62</v>
      </c>
      <c r="R7" s="10" t="s">
        <v>63</v>
      </c>
      <c r="S7" s="10" t="s">
        <v>64</v>
      </c>
      <c r="T7" s="19" t="s">
        <v>56</v>
      </c>
      <c r="U7" s="20" t="s">
        <v>56</v>
      </c>
      <c r="V7" s="18">
        <v>4731.31</v>
      </c>
      <c r="W7" s="4"/>
      <c r="X7" s="4" t="str">
        <f t="shared" si="5"/>
        <v>N/A</v>
      </c>
      <c r="Y7" s="4"/>
      <c r="Z7" s="4" t="s">
        <v>38</v>
      </c>
    </row>
    <row r="8">
      <c r="A8" s="3" t="s">
        <v>32</v>
      </c>
      <c r="B8" s="4" t="s">
        <v>65</v>
      </c>
      <c r="C8" s="4" t="s">
        <v>66</v>
      </c>
      <c r="D8" s="4" t="s">
        <v>67</v>
      </c>
      <c r="E8" s="3" t="s">
        <v>68</v>
      </c>
      <c r="F8" s="4" t="s">
        <v>65</v>
      </c>
      <c r="G8" s="6" t="str">
        <f t="shared" si="1"/>
        <v>Link</v>
      </c>
      <c r="H8" s="3" t="s">
        <v>37</v>
      </c>
      <c r="I8" s="7" t="str">
        <f t="shared" si="2"/>
        <v>{"address_components":[{"long_name":"Tumen River","types":["establishment","natural_feature"],"short_name":"Tumen River"},{"long_name":"8QJFFHWF+H4","short_name":"8QJFFHWF+H4","types":["plus_code"]},{"types":["latitude"],"long_name":42.49638202036756,"short_name":42.49638202036756},{"types":["longitude"],"long_name":129.5727514781101,"short_name":129.5727514781101}]}</v>
      </c>
      <c r="J8" s="8" t="str">
        <f t="shared" si="3"/>
        <v>[{"long_name":"Tumen River","types":["establishment","natural_feature"],"short_name":"Tumen River"},{"long_name":"8QJFFHWF+H4","short_name":"8QJFFHWF+H4","types":["plus_code"]},{"types":["latitude"],"long_name":42.49638202036756,"short_name":42.49638202036756},{"types":["longitude"],"long_name":129.5727514781101,"short_name":129.5727514781101},{"types":["debug_info","cache_load_result"],"long_name":"hit","short_name":"hit"}]</v>
      </c>
      <c r="K8" s="9" t="b">
        <f t="shared" si="6"/>
        <v>0</v>
      </c>
      <c r="L8" s="8" t="b">
        <f t="shared" si="4"/>
        <v>0</v>
      </c>
      <c r="M8" s="10" t="b">
        <v>1</v>
      </c>
      <c r="N8" s="10">
        <v>42.49638202</v>
      </c>
      <c r="O8" s="10">
        <v>129.5727515</v>
      </c>
      <c r="P8" s="10" t="s">
        <v>55</v>
      </c>
      <c r="Q8" s="10" t="s">
        <v>55</v>
      </c>
      <c r="R8" s="10" t="s">
        <v>55</v>
      </c>
      <c r="S8" s="10" t="s">
        <v>55</v>
      </c>
      <c r="T8" s="19" t="s">
        <v>56</v>
      </c>
      <c r="U8" s="19" t="s">
        <v>56</v>
      </c>
      <c r="V8" s="18">
        <v>4825.36</v>
      </c>
      <c r="X8" s="4" t="str">
        <f t="shared" si="5"/>
        <v>N/A</v>
      </c>
      <c r="Y8" s="4"/>
      <c r="Z8" s="4" t="s">
        <v>38</v>
      </c>
      <c r="AB8" s="14" t="s">
        <v>69</v>
      </c>
    </row>
    <row r="9">
      <c r="A9" s="3" t="s">
        <v>32</v>
      </c>
      <c r="B9" s="4" t="s">
        <v>70</v>
      </c>
      <c r="C9" s="4" t="s">
        <v>71</v>
      </c>
      <c r="D9" s="4" t="s">
        <v>72</v>
      </c>
      <c r="E9" s="3" t="s">
        <v>68</v>
      </c>
      <c r="F9" s="4" t="s">
        <v>70</v>
      </c>
      <c r="G9" s="6" t="str">
        <f t="shared" si="1"/>
        <v>Link</v>
      </c>
      <c r="H9" s="3" t="s">
        <v>73</v>
      </c>
      <c r="I9" s="7" t="str">
        <f t="shared" si="2"/>
        <v>{"address_components":[{"long_name":"1","short_name":"1","types":["premise"]},{"types":["political","sublocality","sublocality_level_2"],"short_name":"Ujitachichō","long_name":"Ujitachichō"},{"types":["locality","political"],"long_name":"Ise","short_name":"Ise"},{"types":["administrative_area_level_1","political"],"short_name":"Mie","long_name":"Mie"},{"long_name":"Japan","types":["country","political"],"short_name":"JP"},{"long_name":"516-0023","types":["postal_code"],"short_name":"516-0023"},{"long_name":"1","short_name":"1","types":["premise"]},{"long_name":"Ujitachichō","short_name":"Ujitachichō","types":["political","sublocality","sublocality_level_2"]},{"types":["locality","political"],"short_name":"Ise","long_name":"Ise"},{"long_name":"Mie","types":["administrative_area_level_1","political"],"short_name":"Mie"},{"long_name":"Japan","types":["country","political"],"short_name":"JP"},{"short_name":"516-0023","long_name":"516-0023","types":["postal_code"]},{"types":["latitude"],"long_name":34.4550038,"short_name":34.4550038},{"types":["longitude"],"long_name":136.7254738,"short_name":136.7254738}]}</v>
      </c>
      <c r="J9" s="8" t="str">
        <f t="shared" si="3"/>
        <v>[{"long_name":"1","short_name":"1","types":["premise"]},{"types":["political","sublocality","sublocality_level_2"],"short_name":"Ujitachichō","long_name":"Ujitachichō"},{"types":["locality","political"],"long_name":"Ise","short_name":"Ise"},{"types":["administrative_area_level_1","political"],"short_name":"Mie","long_name":"Mie"},{"long_name":"Japan","types":["country","political"],"short_name":"JP"},{"long_name":"516-0023","types":["postal_code"],"short_name":"516-0023"},{"long_name":"1","short_name":"1","types":["premise"]},{"long_name":"Ujitachichō","short_name":"Ujitachichō","types":["political","sublocality","sublocality_level_2"]},{"types":["locality","political"],"short_name":"Ise","long_name":"Ise"},{"long_name":"Mie","types":["administrative_area_level_1","political"],"short_name":"Mie"},{"long_name":"Japan","types":["country","political"],"short_name":"JP"},{"short_name":"516-0023","long_name":"516-0023","types":["postal_code"]},{"types":["latitude"],"long_name":34.4550038,"short_name":34.4550038},{"types":["longitude"],"long_name":136.7254738,"short_name":136.7254738},{"types":["debug_info","cache_load_result"],"long_name":"hit","short_name":"hit"}]</v>
      </c>
      <c r="K9" s="9" t="b">
        <f t="shared" si="6"/>
        <v>0</v>
      </c>
      <c r="L9" s="8" t="b">
        <f t="shared" si="4"/>
        <v>1</v>
      </c>
      <c r="M9" s="10" t="b">
        <v>1</v>
      </c>
      <c r="N9" s="10">
        <v>34.45501</v>
      </c>
      <c r="O9" s="10">
        <v>136.725793</v>
      </c>
      <c r="P9" s="10" t="s">
        <v>74</v>
      </c>
      <c r="Q9" s="10" t="s">
        <v>75</v>
      </c>
      <c r="R9" s="10" t="s">
        <v>76</v>
      </c>
      <c r="S9" s="10" t="s">
        <v>77</v>
      </c>
      <c r="T9" s="19" t="s">
        <v>56</v>
      </c>
      <c r="U9" s="20" t="s">
        <v>56</v>
      </c>
      <c r="V9" s="18">
        <v>4960.38</v>
      </c>
      <c r="X9" s="4" t="str">
        <f t="shared" si="5"/>
        <v>N/A</v>
      </c>
      <c r="Y9" s="4"/>
      <c r="Z9" s="4" t="s">
        <v>38</v>
      </c>
      <c r="AB9" s="14" t="s">
        <v>69</v>
      </c>
    </row>
    <row r="10">
      <c r="A10" s="3" t="s">
        <v>32</v>
      </c>
      <c r="B10" s="4" t="s">
        <v>78</v>
      </c>
      <c r="C10" s="4" t="s">
        <v>79</v>
      </c>
      <c r="D10" s="4" t="s">
        <v>80</v>
      </c>
      <c r="E10" s="3" t="s">
        <v>81</v>
      </c>
      <c r="F10" s="4" t="s">
        <v>78</v>
      </c>
      <c r="G10" s="6" t="str">
        <f t="shared" si="1"/>
        <v>Link</v>
      </c>
      <c r="H10" s="5"/>
      <c r="I10" s="7" t="str">
        <f t="shared" si="2"/>
        <v>{"address_components":[{"long_name":"1","types":["street_number"],"short_name":"1"},{"types":["route"],"short_name":"Av. du Colonel Henri Rol-Tanguy","long_name":"Avenue du Colonel Henri Rol-Tanguy"},{"long_name":"Paris","types":["locality","political"],"short_name":"Paris"},{"types":["administrative_area_level_2","political"],"short_name":"Paris","long_name":"Paris"},{"long_name":"Île-de-France","short_name":"IDF","types":["administrative_area_level_1","political"]},{"long_name":"France","types":["country","political"],"short_name":"FR"},{"short_name":"75014","types":["postal_code"],"long_name":"75014"},{"types":["street_number"],"long_name":"3","short_name":"3"},{"short_name":"Av. du Colonel Henri Rol-Tanguy","types":["route"],"long_name":"Avenue du Colonel Henri Rol-Tanguy"},{"short_name":"Paris","long_name":"Paris","types":["locality","political"]},{"short_name":"Paris","long_name":"Paris","types":["administrative_area_level_2","political"]},{"short_name":"IDF","types":["administrative_area_level_1","political"],"long_name":"Île-de-France"},{"long_name":"France","types":["country","political"],"short_name":"FR"},{"types":["postal_code"],"short_name":"75014","long_name":"75014"},{"types":["latitude"],"long_name":48.8338325,"short_name":48.8338325},{"types":["longitude"],"long_name":2.3324222,"short_name":2.3324222}]}</v>
      </c>
      <c r="J10" s="8" t="str">
        <f t="shared" si="3"/>
        <v>[{"long_name":"1","types":["street_number"],"short_name":"1"},{"types":["route"],"short_name":"Av. du Colonel Henri Rol-Tanguy","long_name":"Avenue du Colonel Henri Rol-Tanguy"},{"long_name":"Paris","types":["locality","political"],"short_name":"Paris"},{"types":["administrative_area_level_2","political"],"short_name":"Paris","long_name":"Paris"},{"long_name":"Île-de-France","short_name":"IDF","types":["administrative_area_level_1","political"]},{"long_name":"France","types":["country","political"],"short_name":"FR"},{"short_name":"75014","types":["postal_code"],"long_name":"75014"},{"types":["street_number"],"long_name":"3","short_name":"3"},{"short_name":"Av. du Colonel Henri Rol-Tanguy","types":["route"],"long_name":"Avenue du Colonel Henri Rol-Tanguy"},{"short_name":"Paris","long_name":"Paris","types":["locality","political"]},{"short_name":"Paris","long_name":"Paris","types":["administrative_area_level_2","political"]},{"short_name":"IDF","types":["administrative_area_level_1","political"],"long_name":"Île-de-France"},{"long_name":"France","types":["country","political"],"short_name":"FR"},{"types":["postal_code"],"short_name":"75014","long_name":"75014"},{"types":["latitude"],"long_name":48.8338325,"short_name":48.8338325},{"types":["longitude"],"long_name":2.3324222,"short_name":2.3324222},{"types":["debug_info","cache_load_result"],"long_name":"hit","short_name":"hit"}]</v>
      </c>
      <c r="K10" s="9" t="b">
        <f t="shared" si="6"/>
        <v>0</v>
      </c>
      <c r="L10" s="8" t="b">
        <f t="shared" si="4"/>
        <v>1</v>
      </c>
      <c r="M10" s="10" t="b">
        <v>1</v>
      </c>
      <c r="N10" s="10">
        <v>48.8338325</v>
      </c>
      <c r="O10" s="10">
        <v>2.3324222</v>
      </c>
      <c r="P10" s="10" t="s">
        <v>82</v>
      </c>
      <c r="Q10" s="10" t="s">
        <v>83</v>
      </c>
      <c r="R10" s="10">
        <v>75014.0</v>
      </c>
      <c r="S10" s="10" t="s">
        <v>84</v>
      </c>
      <c r="T10" s="19" t="s">
        <v>56</v>
      </c>
      <c r="U10" s="20" t="s">
        <v>56</v>
      </c>
      <c r="V10" s="18">
        <v>4997.29</v>
      </c>
      <c r="X10" s="4" t="str">
        <f t="shared" si="5"/>
        <v>N/A</v>
      </c>
      <c r="Y10" s="4"/>
      <c r="Z10" s="21">
        <v>43120.0</v>
      </c>
      <c r="AB10" s="14" t="s">
        <v>69</v>
      </c>
    </row>
    <row r="11" hidden="1">
      <c r="A11" s="3" t="s">
        <v>32</v>
      </c>
      <c r="B11" s="4" t="s">
        <v>85</v>
      </c>
      <c r="C11" s="4" t="s">
        <v>86</v>
      </c>
      <c r="D11" s="4"/>
      <c r="E11" s="3" t="s">
        <v>43</v>
      </c>
      <c r="F11" s="4" t="s">
        <v>87</v>
      </c>
      <c r="G11" s="6" t="str">
        <f t="shared" si="1"/>
        <v>Link</v>
      </c>
      <c r="H11" s="3" t="s">
        <v>37</v>
      </c>
      <c r="I11" s="8" t="str">
        <f t="shared" si="2"/>
        <v>{"distance_from":{"mi":{"driving":{"2116 4th Ave, Seattle, WA, 98121":"GOOGLE_MAPS_ERROR_CACHED - No route found!"},"flying":{"2116 4th Ave, Seattle, WA, 98121":3628.238284017051}}},"address_components":[{"types":["administrative_area_level_1","political"],"short_name":"Svalbard","long_name":"Svalbard"},{"types":["country","political"],"long_name":"Svalbard and Jan Mayen","short_name":"SJ"},{"short_name":"","long_name":"Ян-Майен, Шпицберген, Улица Олёшивоская","types":[]},{"types":["country","political"],"long_name":"Svalbard and Jan Mayen","short_name":"SJ"},{"types":["administrative_area_level_1","political"],"short_name":"Svalbard","long_name":"Svalbard"},{"types":["postal_code"],"long_name":"9170","short_name":"9170"},{"types":["latitude"],"long_name":77.8749725,"short_name":77.8749725},{"types":["longitude"],"long_name":20.9751822,"short_name":20.9751822}],"duration_from":{"days":{"driving":{"2116 4th Ave, Seattle, WA, 98121":"GOOGLE_MAPS_ERROR_CACHED - No route found!"}}}}</v>
      </c>
      <c r="J11" s="8" t="str">
        <f t="shared" si="3"/>
        <v>[{"types":["administrative_area_level_1","political"],"short_name":"Svalbard","long_name":"Svalbard"},{"types":["country","political"],"long_name":"Svalbard and Jan Mayen","short_name":"SJ"},{"short_name":"","long_name":"Ян-Майен, Шпицберген, Улица Олёшивоская","types":[]},{"types":["country","political"],"long_name":"Svalbard and Jan Mayen","short_name":"SJ"},{"types":["administrative_area_level_1","political"],"short_name":"Svalbard","long_name":"Svalbard"},{"types":["postal_code"],"long_name":"9170","short_name":"9170"},{"types":["latitude"],"long_name":77.8749725,"short_name":77.8749725},{"types":["longitude"],"long_name":20.9751822,"short_name":20.9751822},{"types":["debug_info","cache_load_result"],"long_name":"hit","short_name":"hit"}]</v>
      </c>
      <c r="K11" s="9" t="b">
        <f>NOT(AND(NOT(_xlfn.ISFORMULA(P11)),AND(NOT(_xlfn.ISFORMULA(Q11)),AND(NOT(_xlfn.ISFORMULA(R11)),AND(NOT(_xlfn.ISFORMULA(S11)),AND(NOT(_xlfn.ISFORMULA(T11)),AND(NOT(_xlfn.ISFORMULA(U11)),AND(NOT(_xlfn.ISFORMULA(V11))))))))))</f>
        <v>1</v>
      </c>
      <c r="L11" s="8" t="b">
        <f t="shared" si="4"/>
        <v>0</v>
      </c>
      <c r="M11" s="10" t="b">
        <v>1</v>
      </c>
      <c r="N11" s="8">
        <f>GOOGLEMAPS_GET_ADDRESS_LATITUDE(F11,true)</f>
        <v>77.8749725</v>
      </c>
      <c r="O11" s="8">
        <f>GOOGLEMAPS_GET_ADDRESS_LONGITUDE(F11,true)</f>
        <v>20.9751822</v>
      </c>
      <c r="P11" s="8" t="str">
        <f>GOOGLEMAPS_GET_ADDRESS_CITY(F11,true,false)</f>
        <v>Longyearbyen</v>
      </c>
      <c r="Q11" s="8" t="str">
        <f>GOOGLEMAPS_GET_ADDRESS_STATE(F11,true,false)</f>
        <v>Svalbard</v>
      </c>
      <c r="R11" s="8" t="str">
        <f>GOOGLEMAPS_GET_ADDRESS_POSTAL_CODE(F11,false,false)</f>
        <v>9170</v>
      </c>
      <c r="S11" s="8" t="str">
        <f>GOOGLEMAPS_GET_ADDRESS_COUNTRY(F11,true,false)</f>
        <v>Svalbard and Jan Mayen</v>
      </c>
      <c r="T11" s="11" t="str">
        <f>IFERROR(GOOGLEMAPS_DISTANCE("2116 4th Ave, Seattle, WA, 98121", F11, "driving")+0,"Not Driveable")</f>
        <v>Not Driveable</v>
      </c>
      <c r="U11" s="12" t="str">
        <f>iferror(GOOGLEMAPS_DURATION("2116 4th Ave, Seattle, WA, 98121", F11, "driving")+0,"Not Driveable")</f>
        <v>Not Driveable</v>
      </c>
      <c r="V11" s="13">
        <f>GOOGLEMAPS_DISTANCE("2116 4th Ave, Seattle, WA, 98121", F11, "flying")+0</f>
        <v>3628.238284</v>
      </c>
      <c r="W11" s="4"/>
      <c r="X11" s="4" t="str">
        <f t="shared" si="5"/>
        <v>N/A</v>
      </c>
      <c r="Y11" s="4"/>
      <c r="Z11" s="4" t="s">
        <v>38</v>
      </c>
      <c r="AA11" s="4" t="s">
        <v>88</v>
      </c>
      <c r="AE11" s="4" t="s">
        <v>89</v>
      </c>
    </row>
    <row r="12">
      <c r="A12" s="3" t="s">
        <v>32</v>
      </c>
      <c r="B12" s="4" t="s">
        <v>90</v>
      </c>
      <c r="C12" s="4"/>
      <c r="D12" s="4"/>
      <c r="E12" s="3" t="s">
        <v>43</v>
      </c>
      <c r="F12" s="4" t="s">
        <v>91</v>
      </c>
      <c r="G12" s="6" t="str">
        <f t="shared" si="1"/>
        <v>Link</v>
      </c>
      <c r="H12" s="3" t="s">
        <v>92</v>
      </c>
      <c r="I12" s="8" t="str">
        <f t="shared" si="2"/>
        <v>{"address_components":[{"short_name":"1","long_name":"1","types":["street_number"]},{"short_name":"Hermine-Bareiss-Weg","long_name":"Hermine-Bareiss-Weg","types":["route"]},{"long_name":"Mitteltal","types":["political","sublocality","sublocality_level_1"],"short_name":"Mitteltal"},{"types":["locality","political"],"long_name":"Baiersbronn","short_name":"Baiersbronn"},{"types":["administrative_area_level_3","political"],"long_name":"Landkreis Freudenstadt","short_name":"FDS"},{"short_name":"KA","long_name":"Karlsruhe","types":["administrative_area_level_2","political"]},{"short_name":"BW","long_name":"Baden-Württemberg","types":["administrative_area_level_1","political"]},{"long_name":"Germany","types":["country","political"],"short_name":"DE"},{"types":["postal_code"],"short_name":"72270","long_name":"72270"},{"long_name":"1","types":["street_number"],"short_name":"1"},{"types":["route"],"long_name":"Hermine-Bareiss-Weg","short_name":"Hermine-Bareiss-Weg"},{"short_name":"Mitteltal","types":["political","sublocality","sublocality_level_1"],"long_name":"Mitteltal"},{"long_name":"Baiersbronn","types":["locality","political"],"short_name":"Baiersbronn"},{"types":["administrative_area_level_3","political"],"long_name":"Landkreis Freudenstadt","short_name":"FDS"},{"long_name":"Karlsruhe","types":["administrative_area_level_2","political"],"short_name":"KA"},{"long_name":"Baden-Württemberg","types":["administrative_area_level_1","political"],"short_name":"BW"},{"short_name":"DE","long_name":"Germany","types":["country","political"]},{"types":["postal_code"],"long_name":"72270","short_name":"72270"},{"types":["latitude"],"long_name":48.5203306,"short_name":48.5203306},{"types":["longitude"],"long_name":8.32685,"short_name":8.32685}]}</v>
      </c>
      <c r="J12" s="8" t="str">
        <f t="shared" si="3"/>
        <v>[{"short_name":"1","long_name":"1","types":["street_number"]},{"short_name":"Hermine-Bareiss-Weg","long_name":"Hermine-Bareiss-Weg","types":["route"]},{"long_name":"Mitteltal","types":["political","sublocality","sublocality_level_1"],"short_name":"Mitteltal"},{"types":["locality","political"],"long_name":"Baiersbronn","short_name":"Baiersbronn"},{"types":["administrative_area_level_3","political"],"long_name":"Landkreis Freudenstadt","short_name":"FDS"},{"short_name":"KA","long_name":"Karlsruhe","types":["administrative_area_level_2","political"]},{"short_name":"BW","long_name":"Baden-Württemberg","types":["administrative_area_level_1","political"]},{"long_name":"Germany","types":["country","political"],"short_name":"DE"},{"types":["postal_code"],"short_name":"72270","long_name":"72270"},{"long_name":"1","types":["street_number"],"short_name":"1"},{"types":["route"],"long_name":"Hermine-Bareiss-Weg","short_name":"Hermine-Bareiss-Weg"},{"short_name":"Mitteltal","types":["political","sublocality","sublocality_level_1"],"long_name":"Mitteltal"},{"long_name":"Baiersbronn","types":["locality","political"],"short_name":"Baiersbronn"},{"types":["administrative_area_level_3","political"],"long_name":"Landkreis Freudenstadt","short_name":"FDS"},{"long_name":"Karlsruhe","types":["administrative_area_level_2","political"],"short_name":"KA"},{"long_name":"Baden-Württemberg","types":["administrative_area_level_1","political"],"short_name":"BW"},{"short_name":"DE","long_name":"Germany","types":["country","political"]},{"types":["postal_code"],"long_name":"72270","short_name":"72270"},{"types":["latitude"],"long_name":48.5203306,"short_name":48.5203306},{"types":["longitude"],"long_name":8.32685,"short_name":8.32685},{"types":["debug_info","cache_load_result"],"long_name":"hit","short_name":"hit"}]</v>
      </c>
      <c r="K12" s="9" t="b">
        <f>NOT(AND(NOT(_xlfn.ISFORMULA(P12)),AND(NOT(_xlfn.ISFORMULA(Q12)),AND(NOT(_xlfn.ISFORMULA(R12)),AND(NOT(_xlfn.ISFORMULA(S12)),AND(NOT(_xlfn.ISFORMULA(T12)),AND(NOT(_xlfn.ISFORMULA(U12)),AND(NOT(_xlfn.ISFORMULA(V12)),AND(NOT(_xlfn.ISFORMULA(N12)),NOT(_xlfn.ISFORMULA(O12)))))))))))</f>
        <v>0</v>
      </c>
      <c r="L12" s="8" t="b">
        <f t="shared" si="4"/>
        <v>0</v>
      </c>
      <c r="M12" s="10" t="b">
        <v>1</v>
      </c>
      <c r="N12" s="10">
        <v>48.5203306</v>
      </c>
      <c r="O12" s="10">
        <v>8.32685</v>
      </c>
      <c r="P12" s="15" t="s">
        <v>93</v>
      </c>
      <c r="Q12" s="10" t="s">
        <v>94</v>
      </c>
      <c r="R12" s="15">
        <v>72270.0</v>
      </c>
      <c r="S12" s="15" t="s">
        <v>95</v>
      </c>
      <c r="T12" s="22" t="s">
        <v>56</v>
      </c>
      <c r="U12" s="23" t="s">
        <v>56</v>
      </c>
      <c r="V12" s="18">
        <v>5167.37</v>
      </c>
      <c r="W12" s="4"/>
      <c r="X12" s="4" t="str">
        <f t="shared" si="5"/>
        <v>N/A</v>
      </c>
      <c r="Y12" s="4"/>
      <c r="Z12" s="4" t="s">
        <v>38</v>
      </c>
      <c r="AA12" s="24"/>
      <c r="AB12" s="25" t="s">
        <v>96</v>
      </c>
      <c r="AE12" s="4"/>
      <c r="AF12" s="4" t="s">
        <v>97</v>
      </c>
    </row>
    <row r="13">
      <c r="A13" s="3" t="s">
        <v>32</v>
      </c>
      <c r="B13" s="4" t="s">
        <v>98</v>
      </c>
      <c r="C13" s="4" t="s">
        <v>99</v>
      </c>
      <c r="D13" s="4"/>
      <c r="E13" s="3" t="s">
        <v>100</v>
      </c>
      <c r="F13" s="4" t="s">
        <v>101</v>
      </c>
      <c r="G13" s="6" t="str">
        <f t="shared" si="1"/>
        <v>Link</v>
      </c>
      <c r="H13" s="3" t="s">
        <v>45</v>
      </c>
      <c r="I13" s="8" t="str">
        <f t="shared" si="2"/>
        <v>{"address_components":[{"long_name":"Belarus","short_name":"BY","types":["country","political"]},{"long_name":"PX53+W9","short_name":"PX53+W9","types":["plus_code"]},{"short_name":"Golomberg","long_name":"Golomberg","types":["locality","political"]},{"short_name":"Pukhavichy District","types":["administrative_area_level_2","political"],"long_name":"Pukhavichy District"},{"short_name":"Minsk Region","long_name":"Minsk Region","types":["administrative_area_level_1","political"]},{"long_name":"Belarus","short_name":"BY","types":["country","political"]},{"types":["latitude"],"long_name":53.709807,"short_name":53.709807},{"types":["longitude"],"long_name":27.953389,"short_name":27.953389}],"duration_from":{"days":{"driving":{"2116 4th Ave, Seattle, WA, 98121":"GOOGLE_MAPS_ERROR_CACHED - No route found!"}}},"distance_from":{"mi":{"driving":{"2116 4th Ave, Seattle, WA, 98121":"GOOGLE_MAPS_ERROR_CACHED - No route found!"},"flying":{"2116 4th Ave, Seattle, WA, 98121":5223.046714802342}}}}</v>
      </c>
      <c r="J13" s="8" t="str">
        <f t="shared" si="3"/>
        <v>[{"long_name":"Belarus","short_name":"BY","types":["country","political"]},{"long_name":"PX53+W9","short_name":"PX53+W9","types":["plus_code"]},{"short_name":"Golomberg","long_name":"Golomberg","types":["locality","political"]},{"short_name":"Pukhavichy District","types":["administrative_area_level_2","political"],"long_name":"Pukhavichy District"},{"short_name":"Minsk Region","long_name":"Minsk Region","types":["administrative_area_level_1","political"]},{"long_name":"Belarus","short_name":"BY","types":["country","political"]},{"types":["latitude"],"long_name":53.709807,"short_name":53.709807},{"types":["longitude"],"long_name":27.953389,"short_name":27.953389},{"types":["debug_info","cache_load_result"],"long_name":"hit","short_name":"hit"}]</v>
      </c>
      <c r="K13" s="9" t="b">
        <f t="shared" ref="K13:K17" si="7">NOT(AND(NOT(_xlfn.ISFORMULA(P13)),AND(NOT(_xlfn.ISFORMULA(Q13)),AND(NOT(_xlfn.ISFORMULA(R13)),AND(NOT(_xlfn.ISFORMULA(S13)),AND(NOT(_xlfn.ISFORMULA(T13)),AND(NOT(_xlfn.ISFORMULA(U13)),AND(NOT(_xlfn.ISFORMULA(V13))))))))))</f>
        <v>1</v>
      </c>
      <c r="L13" s="8" t="b">
        <f t="shared" si="4"/>
        <v>0</v>
      </c>
      <c r="M13" s="10" t="b">
        <v>1</v>
      </c>
      <c r="N13" s="8">
        <f t="shared" ref="N13:N17" si="8">GOOGLEMAPS_GET_ADDRESS_LATITUDE(F13,true)</f>
        <v>53.709807</v>
      </c>
      <c r="O13" s="8">
        <f t="shared" ref="O13:O17" si="9">GOOGLEMAPS_GET_ADDRESS_LONGITUDE(F13,true)</f>
        <v>27.953389</v>
      </c>
      <c r="P13" s="8" t="str">
        <f t="shared" ref="P13:P17" si="10">GOOGLEMAPS_GET_ADDRESS_CITY(F13,true,false)</f>
        <v>Golomberg</v>
      </c>
      <c r="Q13" s="8" t="str">
        <f t="shared" ref="Q13:Q17" si="11">GOOGLEMAPS_GET_ADDRESS_STATE(F13,true,false)</f>
        <v>Minsk Region</v>
      </c>
      <c r="R13" s="8" t="str">
        <f t="shared" ref="R13:R17" si="12">GOOGLEMAPS_GET_ADDRESS_POSTAL_CODE(F13,false,false)</f>
        <v>UNDEFINED</v>
      </c>
      <c r="S13" s="8" t="str">
        <f t="shared" ref="S13:S17" si="13">GOOGLEMAPS_GET_ADDRESS_COUNTRY(F13,true,false)</f>
        <v>Belarus</v>
      </c>
      <c r="T13" s="11" t="str">
        <f t="shared" ref="T13:T17" si="14">IFERROR(GOOGLEMAPS_DISTANCE("2116 4th Ave, Seattle, WA, 98121", F13, "driving")+0,"Not Driveable")</f>
        <v>Not Driveable</v>
      </c>
      <c r="U13" s="12" t="str">
        <f t="shared" ref="U13:U17" si="15">iferror(GOOGLEMAPS_DURATION("2116 4th Ave, Seattle, WA, 98121", F13, "driving")+0,"Not Driveable")</f>
        <v>Not Driveable</v>
      </c>
      <c r="V13" s="13">
        <f t="shared" ref="V13:V17" si="16">GOOGLEMAPS_DISTANCE("2116 4th Ave, Seattle, WA, 98121", F13, "flying")+0</f>
        <v>5223.046715</v>
      </c>
      <c r="W13" s="4"/>
      <c r="X13" s="4" t="str">
        <f t="shared" si="5"/>
        <v>N/A</v>
      </c>
      <c r="Y13" s="4"/>
      <c r="Z13" s="4" t="s">
        <v>38</v>
      </c>
      <c r="AC13" s="14" t="s">
        <v>102</v>
      </c>
      <c r="AD13" s="14" t="s">
        <v>103</v>
      </c>
    </row>
    <row r="14" hidden="1">
      <c r="A14" s="3" t="s">
        <v>32</v>
      </c>
      <c r="B14" s="4" t="s">
        <v>104</v>
      </c>
      <c r="C14" s="4" t="s">
        <v>105</v>
      </c>
      <c r="E14" s="3" t="s">
        <v>43</v>
      </c>
      <c r="F14" s="4" t="s">
        <v>104</v>
      </c>
      <c r="G14" s="6" t="str">
        <f t="shared" si="1"/>
        <v>Link</v>
      </c>
      <c r="H14" s="3" t="s">
        <v>106</v>
      </c>
      <c r="I14" s="7" t="str">
        <f t="shared" si="2"/>
        <v>{"address_components":[{"long_name":"Alsace","short_name":"Alsace","types":["colloquial_area","political"]},{"short_name":"Grand Est","types":["administrative_area_level_1","political"],"long_name":"Grand Est"},{"long_name":"France","types":["country","political"],"short_name":"FR"},{"long_name":"21","types":["street_number"],"short_name":"21"},{"long_name":"Rue des Boutons d'Or","short_name":"Rue des Boutons d'Or","types":["route"]},{"long_name":"Dambach-la-Ville","short_name":"Dambach-la-Ville","types":["locality","political"]},{"types":["administrative_area_level_2","political"],"short_name":"Bas-Rhin","long_name":"Bas-Rhin"},{"long_name":"Grand Est","short_name":"Grand Est","types":["administrative_area_level_1","political"]},{"types":["country","political"],"short_name":"FR","long_name":"France"},{"long_name":"67650","short_name":"67650","types":["postal_code"]},{"types":["latitude"],"long_name":48.3181795,"short_name":48.3181795},{"types":["longitude"],"long_name":7.441624099999999,"short_name":7.441624099999999}],"duration_from":{"days":{"driving":{"2116 4th Ave, Seattle, WA, 98121":"GOOGLE_MAPS_ERROR_CACHED - No route found!"}}},"distance_from":{"mi":{"flying":{"2116 4th Ave, Seattle, WA, 98121":5157.514260504307},"driving":{"2116 4th Ave, Seattle, WA, 98121":"GOOGLE_MAPS_ERROR_CACHED - No route found!"}}}}</v>
      </c>
      <c r="J14" s="8" t="str">
        <f t="shared" si="3"/>
        <v>[{"long_name":"Alsace","short_name":"Alsace","types":["colloquial_area","political"]},{"short_name":"Grand Est","types":["administrative_area_level_1","political"],"long_name":"Grand Est"},{"long_name":"France","types":["country","political"],"short_name":"FR"},{"long_name":"21","types":["street_number"],"short_name":"21"},{"long_name":"Rue des Boutons d'Or","short_name":"Rue des Boutons d'Or","types":["route"]},{"long_name":"Dambach-la-Ville","short_name":"Dambach-la-Ville","types":["locality","political"]},{"types":["administrative_area_level_2","political"],"short_name":"Bas-Rhin","long_name":"Bas-Rhin"},{"long_name":"Grand Est","short_name":"Grand Est","types":["administrative_area_level_1","political"]},{"types":["country","political"],"short_name":"FR","long_name":"France"},{"long_name":"67650","short_name":"67650","types":["postal_code"]},{"types":["latitude"],"long_name":48.3181795,"short_name":48.3181795},{"types":["longitude"],"long_name":7.441624099999999,"short_name":7.441624099999999},{"types":["debug_info","cache_load_result"],"long_name":"hit","short_name":"hit"}]</v>
      </c>
      <c r="K14" s="9" t="b">
        <f t="shared" si="7"/>
        <v>1</v>
      </c>
      <c r="L14" s="8" t="b">
        <f t="shared" si="4"/>
        <v>0</v>
      </c>
      <c r="M14" s="10" t="b">
        <v>1</v>
      </c>
      <c r="N14" s="8">
        <f t="shared" si="8"/>
        <v>48.3181795</v>
      </c>
      <c r="O14" s="8">
        <f t="shared" si="9"/>
        <v>7.4416241</v>
      </c>
      <c r="P14" s="8" t="str">
        <f t="shared" si="10"/>
        <v>Dambach-la-Ville</v>
      </c>
      <c r="Q14" s="8" t="str">
        <f t="shared" si="11"/>
        <v>Grand Est</v>
      </c>
      <c r="R14" s="8" t="str">
        <f t="shared" si="12"/>
        <v>67650</v>
      </c>
      <c r="S14" s="8" t="str">
        <f t="shared" si="13"/>
        <v>France</v>
      </c>
      <c r="T14" s="11" t="str">
        <f t="shared" si="14"/>
        <v>Not Driveable</v>
      </c>
      <c r="U14" s="12" t="str">
        <f t="shared" si="15"/>
        <v>Not Driveable</v>
      </c>
      <c r="V14" s="13">
        <f t="shared" si="16"/>
        <v>5157.514261</v>
      </c>
      <c r="X14" s="4" t="str">
        <f t="shared" si="5"/>
        <v>N/A</v>
      </c>
      <c r="Y14" s="4"/>
      <c r="Z14" s="4" t="s">
        <v>38</v>
      </c>
    </row>
    <row r="15">
      <c r="A15" s="3" t="s">
        <v>32</v>
      </c>
      <c r="B15" s="4" t="s">
        <v>107</v>
      </c>
      <c r="C15" s="4" t="s">
        <v>108</v>
      </c>
      <c r="D15" s="4" t="s">
        <v>109</v>
      </c>
      <c r="E15" s="3" t="s">
        <v>100</v>
      </c>
      <c r="F15" s="4" t="s">
        <v>107</v>
      </c>
      <c r="G15" s="6" t="str">
        <f t="shared" si="1"/>
        <v>Link</v>
      </c>
      <c r="H15" s="5"/>
      <c r="I15" s="7" t="str">
        <f t="shared" si="2"/>
        <v>{"address_components":[{"types":["country","political"],"short_name":"KR","long_name":"South Korea"},{"types":["premise"],"long_name":"808-3","short_name":"808-3"},{"long_name":"Samgong-ri","types":["political","sublocality","sublocality_level_3"],"short_name":"Samgong-ri"},{"short_name":"Seolcheon-myeon","long_name":"Seolcheon-myeon","types":["political","sublocality","sublocality_level_2"]},{"short_name":"Muju","long_name":"Muju","types":["locality","political"]},{"long_name":"Jeonbuk State","types":["administrative_area_level_1","political"],"short_name":"Jeonbuk State"},{"short_name":"KR","long_name":"South Korea","types":["country","political"]},{"types":["postal_code"],"long_name":"55557","short_name":"55557"},{"types":["latitude"],"long_name":35.907757,"short_name":35.907757},{"types":["longitude"],"long_name":127.766922,"short_name":127.766922}],"distance_from":{"mi":{"flying":{"2116 4th Ave, Seattle, WA, 98121":5228.674487678179},"driving":{"2116 4th Ave, Seattle, WA, 98121":"GOOGLE_MAPS_ERROR_CACHED - No route found!"}}},"duration_from":{"days":{"driving":{"2116 4th Ave, Seattle, WA, 98121":"GOOGLE_MAPS_ERROR_CACHED - No route found!"}}}}</v>
      </c>
      <c r="J15" s="8" t="str">
        <f t="shared" si="3"/>
        <v>[{"types":["country","political"],"short_name":"KR","long_name":"South Korea"},{"types":["premise"],"long_name":"808-3","short_name":"808-3"},{"long_name":"Samgong-ri","types":["political","sublocality","sublocality_level_3"],"short_name":"Samgong-ri"},{"short_name":"Seolcheon-myeon","long_name":"Seolcheon-myeon","types":["political","sublocality","sublocality_level_2"]},{"short_name":"Muju","long_name":"Muju","types":["locality","political"]},{"long_name":"Jeonbuk State","types":["administrative_area_level_1","political"],"short_name":"Jeonbuk State"},{"short_name":"KR","long_name":"South Korea","types":["country","political"]},{"types":["postal_code"],"long_name":"55557","short_name":"55557"},{"types":["latitude"],"long_name":35.907757,"short_name":35.907757},{"types":["longitude"],"long_name":127.766922,"short_name":127.766922},{"types":["debug_info","cache_load_result"],"long_name":"hit","short_name":"hit"}]</v>
      </c>
      <c r="K15" s="9" t="b">
        <f t="shared" si="7"/>
        <v>1</v>
      </c>
      <c r="L15" s="8" t="b">
        <f t="shared" si="4"/>
        <v>0</v>
      </c>
      <c r="M15" s="10" t="b">
        <v>1</v>
      </c>
      <c r="N15" s="8">
        <f t="shared" si="8"/>
        <v>35.907757</v>
      </c>
      <c r="O15" s="8">
        <f t="shared" si="9"/>
        <v>127.766922</v>
      </c>
      <c r="P15" s="8" t="str">
        <f t="shared" si="10"/>
        <v>Muju</v>
      </c>
      <c r="Q15" s="8" t="str">
        <f t="shared" si="11"/>
        <v>Jeonbuk State</v>
      </c>
      <c r="R15" s="8" t="str">
        <f t="shared" si="12"/>
        <v>55557</v>
      </c>
      <c r="S15" s="8" t="str">
        <f t="shared" si="13"/>
        <v>South Korea</v>
      </c>
      <c r="T15" s="11" t="str">
        <f t="shared" si="14"/>
        <v>Not Driveable</v>
      </c>
      <c r="U15" s="12" t="str">
        <f t="shared" si="15"/>
        <v>Not Driveable</v>
      </c>
      <c r="V15" s="13">
        <f t="shared" si="16"/>
        <v>5228.674488</v>
      </c>
      <c r="X15" s="4" t="str">
        <f t="shared" si="5"/>
        <v>N/A</v>
      </c>
      <c r="Y15" s="4"/>
      <c r="Z15" s="4" t="s">
        <v>38</v>
      </c>
      <c r="AB15" s="14" t="s">
        <v>69</v>
      </c>
    </row>
    <row r="16">
      <c r="A16" s="3" t="s">
        <v>32</v>
      </c>
      <c r="B16" s="4" t="s">
        <v>110</v>
      </c>
      <c r="C16" s="4"/>
      <c r="D16" s="4" t="s">
        <v>111</v>
      </c>
      <c r="E16" s="3" t="s">
        <v>81</v>
      </c>
      <c r="F16" s="4" t="s">
        <v>112</v>
      </c>
      <c r="G16" s="6" t="str">
        <f t="shared" si="1"/>
        <v>Link</v>
      </c>
      <c r="H16" s="3" t="s">
        <v>45</v>
      </c>
      <c r="I16" s="8" t="str">
        <f t="shared" si="2"/>
        <v>{"address_components":[{"long_name":"Hashima Island","short_name":"Hashima Island","types":["establishment","natural_feature"]},{"long_name":"Takashimamachi","short_name":"Takashimamachi","types":["political","sublocality","sublocality_level_2"]},{"short_name":"Nagasaki","types":["locality","political"],"long_name":"Nagasaki"},{"short_name":"Nagasaki","types":["administrative_area_level_1","political"],"long_name":"Nagasaki"},{"short_name":"JP","types":["country","political"],"long_name":"Japan"},{"types":["postal_code"],"long_name":"851-1315","short_name":"851-1315"},{"long_name":"2","short_name":"2","types":["premise"]},{"types":["political","sublocality","sublocality_level_2"],"long_name":"Takashimamachi","short_name":"Takashimamachi"},{"long_name":"Nagasaki","types":["locality","political"],"short_name":"Nagasaki"},{"short_name":"Nagasaki","types":["administrative_area_level_1","political"],"long_name":"Nagasaki"},{"long_name":"Japan","short_name":"JP","types":["country","political"]},{"long_name":"851-1315","short_name":"851-1315","types":["postal_code"]},{"types":["latitude"],"long_name":32.6276331,"short_name":32.6276331},{"types":["longitude"],"long_name":129.7385256,"short_name":129.7385256}],"distance_from":{"mi":{"flying":{"2116 4th Ave, Seattle, WA, 98121":5325.824250935167},"driving":{"2116 4th Ave, Seattle, WA, 98121":"GOOGLE_MAPS_ERROR_CACHED - No route found!"}}},"duration_from":{"days":{"driving":{"2116 4th Ave, Seattle, WA, 98121":"GOOGLE_MAPS_ERROR_CACHED - No route found!"}}}}</v>
      </c>
      <c r="J16" s="8" t="str">
        <f t="shared" si="3"/>
        <v>[{"long_name":"Hashima Island","short_name":"Hashima Island","types":["establishment","natural_feature"]},{"long_name":"Takashimamachi","short_name":"Takashimamachi","types":["political","sublocality","sublocality_level_2"]},{"short_name":"Nagasaki","types":["locality","political"],"long_name":"Nagasaki"},{"short_name":"Nagasaki","types":["administrative_area_level_1","political"],"long_name":"Nagasaki"},{"short_name":"JP","types":["country","political"],"long_name":"Japan"},{"types":["postal_code"],"long_name":"851-1315","short_name":"851-1315"},{"long_name":"2","short_name":"2","types":["premise"]},{"types":["political","sublocality","sublocality_level_2"],"long_name":"Takashimamachi","short_name":"Takashimamachi"},{"long_name":"Nagasaki","types":["locality","political"],"short_name":"Nagasaki"},{"short_name":"Nagasaki","types":["administrative_area_level_1","political"],"long_name":"Nagasaki"},{"long_name":"Japan","short_name":"JP","types":["country","political"]},{"long_name":"851-1315","short_name":"851-1315","types":["postal_code"]},{"types":["latitude"],"long_name":32.6276331,"short_name":32.6276331},{"types":["longitude"],"long_name":129.7385256,"short_name":129.7385256},{"types":["debug_info","cache_load_result"],"long_name":"hit","short_name":"hit"}]</v>
      </c>
      <c r="K16" s="9" t="b">
        <f t="shared" si="7"/>
        <v>1</v>
      </c>
      <c r="L16" s="8" t="b">
        <f t="shared" si="4"/>
        <v>0</v>
      </c>
      <c r="M16" s="10" t="b">
        <v>1</v>
      </c>
      <c r="N16" s="8">
        <f t="shared" si="8"/>
        <v>32.6276331</v>
      </c>
      <c r="O16" s="8">
        <f t="shared" si="9"/>
        <v>129.7385256</v>
      </c>
      <c r="P16" s="8" t="str">
        <f t="shared" si="10"/>
        <v>Nagasaki</v>
      </c>
      <c r="Q16" s="8" t="str">
        <f t="shared" si="11"/>
        <v>Nagasaki</v>
      </c>
      <c r="R16" s="8" t="str">
        <f t="shared" si="12"/>
        <v>851-1315</v>
      </c>
      <c r="S16" s="8" t="str">
        <f t="shared" si="13"/>
        <v>Japan</v>
      </c>
      <c r="T16" s="11" t="str">
        <f t="shared" si="14"/>
        <v>Not Driveable</v>
      </c>
      <c r="U16" s="12" t="str">
        <f t="shared" si="15"/>
        <v>Not Driveable</v>
      </c>
      <c r="V16" s="13">
        <f t="shared" si="16"/>
        <v>5325.824251</v>
      </c>
      <c r="W16" s="4"/>
      <c r="X16" s="4" t="str">
        <f t="shared" si="5"/>
        <v>N/A</v>
      </c>
      <c r="Y16" s="4"/>
      <c r="Z16" s="4" t="s">
        <v>38</v>
      </c>
      <c r="AB16" s="26" t="s">
        <v>113</v>
      </c>
      <c r="AF16" s="4" t="s">
        <v>114</v>
      </c>
    </row>
    <row r="17">
      <c r="A17" s="3" t="s">
        <v>32</v>
      </c>
      <c r="B17" s="4" t="s">
        <v>115</v>
      </c>
      <c r="C17" s="4" t="s">
        <v>116</v>
      </c>
      <c r="D17" s="4"/>
      <c r="E17" s="3" t="s">
        <v>100</v>
      </c>
      <c r="F17" s="4" t="s">
        <v>115</v>
      </c>
      <c r="G17" s="6" t="str">
        <f t="shared" si="1"/>
        <v>Link</v>
      </c>
      <c r="H17" s="3" t="s">
        <v>45</v>
      </c>
      <c r="I17" s="8" t="str">
        <f t="shared" si="2"/>
        <v>{"address_components":[{"types":["locality","political"],"long_name":"Pryp'yat'","short_name":"Pryp'yat'"},{"types":["administrative_area_level_2","political"],"long_name":"Ivankivs'kyi district","short_name":"Ivankivs'kyi district"},{"types":["administrative_area_level_1","political"],"long_name":"Kyiv Oblast","short_name":"Kyiv Oblast"},{"short_name":"UA","types":["country","political"],"long_name":"Ukraine"},{"short_name":"1/14","long_name":"1/14","types":["street_number"]},{"short_name":"Serzhanta Lazarieva St","long_name":"Serzhanta Lazarieva Street","types":["route"]},{"types":["locality","political"],"short_name":"Pryp'yat'","long_name":"Pryp'yat'"},{"long_name":"Ivankivs'kyi district","short_name":"Ivankivs'kyi district","types":["administrative_area_level_2","political"]},{"short_name":"Kyivs'ka oblast","long_name":"Kyivs'ka oblast","types":["administrative_area_level_1","political"]},{"types":["country","political"],"long_name":"Ukraine","short_name":"UA"},{"types":["latitude"],"long_name":51.40450320000001,"short_name":51.40450320000001},{"types":["longitude"],"long_name":30.0542331,"short_name":30.0542331}],"duration_from":{"days":{"driving":{"2116 4th Ave, Seattle, WA, 98121":"GOOGLE_MAPS_ERROR_CACHED - No route found!"}}},"distance_from":{"mi":{"flying":{"2116 4th Ave, Seattle, WA, 98121":5402.573725875204},"driving":{"2116 4th Ave, Seattle, WA, 98121":"GOOGLE_MAPS_ERROR_CACHED - No route found!"}}}}</v>
      </c>
      <c r="J17" s="8" t="str">
        <f t="shared" si="3"/>
        <v>[{"types":["locality","political"],"long_name":"Pryp'yat'","short_name":"Pryp'yat'"},{"types":["administrative_area_level_2","political"],"long_name":"Ivankivs'kyi district","short_name":"Ivankivs'kyi district"},{"types":["administrative_area_level_1","political"],"long_name":"Kyiv Oblast","short_name":"Kyiv Oblast"},{"short_name":"UA","types":["country","political"],"long_name":"Ukraine"},{"short_name":"1/14","long_name":"1/14","types":["street_number"]},{"short_name":"Serzhanta Lazarieva St","long_name":"Serzhanta Lazarieva Street","types":["route"]},{"types":["locality","political"],"short_name":"Pryp'yat'","long_name":"Pryp'yat'"},{"long_name":"Ivankivs'kyi district","short_name":"Ivankivs'kyi district","types":["administrative_area_level_2","political"]},{"short_name":"Kyivs'ka oblast","long_name":"Kyivs'ka oblast","types":["administrative_area_level_1","political"]},{"types":["country","political"],"long_name":"Ukraine","short_name":"UA"},{"types":["latitude"],"long_name":51.40450320000001,"short_name":51.40450320000001},{"types":["longitude"],"long_name":30.0542331,"short_name":30.0542331},{"types":["debug_info","cache_load_result"],"long_name":"hit","short_name":"hit"}]</v>
      </c>
      <c r="K17" s="9" t="b">
        <f t="shared" si="7"/>
        <v>1</v>
      </c>
      <c r="L17" s="8" t="b">
        <f t="shared" si="4"/>
        <v>0</v>
      </c>
      <c r="M17" s="10" t="b">
        <v>1</v>
      </c>
      <c r="N17" s="8">
        <f t="shared" si="8"/>
        <v>51.4045032</v>
      </c>
      <c r="O17" s="8">
        <f t="shared" si="9"/>
        <v>30.0542331</v>
      </c>
      <c r="P17" s="8" t="str">
        <f t="shared" si="10"/>
        <v>Pryp'yat'</v>
      </c>
      <c r="Q17" s="8" t="str">
        <f t="shared" si="11"/>
        <v>Kyiv Oblast</v>
      </c>
      <c r="R17" s="8" t="str">
        <f t="shared" si="12"/>
        <v>UNDEFINED</v>
      </c>
      <c r="S17" s="8" t="str">
        <f t="shared" si="13"/>
        <v>Ukraine</v>
      </c>
      <c r="T17" s="11" t="str">
        <f t="shared" si="14"/>
        <v>Not Driveable</v>
      </c>
      <c r="U17" s="12" t="str">
        <f t="shared" si="15"/>
        <v>Not Driveable</v>
      </c>
      <c r="V17" s="13">
        <f t="shared" si="16"/>
        <v>5402.573726</v>
      </c>
      <c r="W17" s="4"/>
      <c r="X17" s="4" t="str">
        <f t="shared" si="5"/>
        <v>N/A</v>
      </c>
      <c r="Y17" s="4"/>
      <c r="Z17" s="4" t="s">
        <v>38</v>
      </c>
      <c r="AA17" s="4"/>
      <c r="AB17" s="14" t="s">
        <v>103</v>
      </c>
      <c r="AF17" s="4" t="s">
        <v>117</v>
      </c>
    </row>
    <row r="18" hidden="1">
      <c r="A18" s="3" t="s">
        <v>32</v>
      </c>
      <c r="B18" s="4" t="s">
        <v>118</v>
      </c>
      <c r="C18" s="4" t="s">
        <v>119</v>
      </c>
      <c r="D18" s="4"/>
      <c r="E18" s="3" t="s">
        <v>81</v>
      </c>
      <c r="F18" s="4" t="s">
        <v>118</v>
      </c>
      <c r="G18" s="6" t="str">
        <f t="shared" si="1"/>
        <v>Link</v>
      </c>
      <c r="H18" s="3" t="s">
        <v>120</v>
      </c>
      <c r="I18" s="8" t="str">
        <f t="shared" si="2"/>
        <v>{"address_components":[{"long_name":"New Mexico","short_name":"NM","types":["administrative_area_level_1","political"]},{"types":["administrative_area_level_2","political"],"long_name":"Socorro County","short_name":"Socorro County"},{"long_name":"United States","short_name":"US","types":["country","political"]},{"long_name":"87102","types":["postal_code"],"short_name":"87102"},{"types":["plus_code"],"long_name":"855MMGGF+WR","short_name":"855MMGGF+WR"},{"types":["latitude"],"long_name":33.677333,"short_name":33.677333},{"types":["longitude"],"long_name":-106.4754025,"short_name":-106.4754025}]}</v>
      </c>
      <c r="J18" s="8" t="str">
        <f t="shared" si="3"/>
        <v>[{"long_name":"New Mexico","short_name":"NM","types":["administrative_area_level_1","political"]},{"types":["administrative_area_level_2","political"],"long_name":"Socorro County","short_name":"Socorro County"},{"long_name":"United States","short_name":"US","types":["country","political"]},{"long_name":"87102","types":["postal_code"],"short_name":"87102"},{"types":["plus_code"],"long_name":"855MMGGF+WR","short_name":"855MMGGF+WR"},{"types":["latitude"],"long_name":33.677333,"short_name":33.677333},{"types":["longitude"],"long_name":-106.4754025,"short_name":-106.4754025},{"types":["debug_info","cache_load_result"],"long_name":"hit","short_name":"hit"}]</v>
      </c>
      <c r="K18" s="9" t="b">
        <f>NOT(AND(NOT(_xlfn.ISFORMULA(P18)),AND(NOT(_xlfn.ISFORMULA(Q18)),AND(NOT(_xlfn.ISFORMULA(R18)),AND(NOT(_xlfn.ISFORMULA(S18)),AND(NOT(_xlfn.ISFORMULA(T18)),AND(NOT(_xlfn.ISFORMULA(U18)),AND(NOT(_xlfn.ISFORMULA(V18)),AND(NOT(_xlfn.ISFORMULA(N18)),NOT(_xlfn.ISFORMULA(O18)))))))))))</f>
        <v>0</v>
      </c>
      <c r="L18" s="8" t="b">
        <f t="shared" si="4"/>
        <v>0</v>
      </c>
      <c r="M18" s="15" t="b">
        <v>1</v>
      </c>
      <c r="N18" s="10">
        <v>33.6772929</v>
      </c>
      <c r="O18" s="10">
        <v>-106.4752871</v>
      </c>
      <c r="P18" s="15" t="s">
        <v>121</v>
      </c>
      <c r="Q18" s="15" t="s">
        <v>122</v>
      </c>
      <c r="R18" s="15">
        <v>87102.0</v>
      </c>
      <c r="S18" s="15" t="s">
        <v>47</v>
      </c>
      <c r="T18" s="16">
        <v>1554.2</v>
      </c>
      <c r="U18" s="17">
        <v>1.024513888888889</v>
      </c>
      <c r="V18" s="18">
        <v>1267.39</v>
      </c>
      <c r="W18" s="4"/>
      <c r="X18" s="4" t="str">
        <f t="shared" si="5"/>
        <v>N/A</v>
      </c>
      <c r="Y18" s="4"/>
      <c r="Z18" s="4" t="s">
        <v>38</v>
      </c>
    </row>
    <row r="19" hidden="1">
      <c r="A19" s="3" t="s">
        <v>32</v>
      </c>
      <c r="B19" s="4" t="s">
        <v>123</v>
      </c>
      <c r="C19" s="4"/>
      <c r="D19" s="4"/>
      <c r="E19" s="3" t="s">
        <v>81</v>
      </c>
      <c r="F19" s="4" t="s">
        <v>124</v>
      </c>
      <c r="G19" s="6" t="str">
        <f t="shared" si="1"/>
        <v>Link</v>
      </c>
      <c r="H19" s="3" t="s">
        <v>120</v>
      </c>
      <c r="I19" s="8" t="str">
        <f t="shared" si="2"/>
        <v>{"address_components":[{"short_name":"","types":[],"long_name":"Kazakhstan"},{"short_name":"KZ","long_name":"Kazakhstan","types":["country","political"]},{"short_name":"Қармақшы ауданы","types":["administrative_area_level_2","political"],"long_name":"Қармақшы ауданы"},{"long_name":"Қызылорда облысы","short_name":"Қызылорда облысы","types":["administrative_area_level_1","political"]},{"short_name":"KZ","long_name":"Kazakhstan","types":["country","political"]},{"short_name":"Қармақшы ауданы","types":["administrative_area_level_2","political"],"long_name":"Қармақшы ауданы"},{"long_name":"Қызылорда облысы","short_name":"Қызылорда облысы","types":["administrative_area_level_1","political"]},{"types":["latitude"],"long_name":45.9645851,"short_name":45.9645851},{"types":["longitude"],"long_name":63.30524269999999,"short_name":63.30524269999999}],"distance_from":{"mi":{"flying":{"2116 4th Ave, Seattle, WA, 98121":5962.106826400885},"driving":{"2116 4th Ave, Seattle, WA, 98121":"GOOGLE_MAPS_ERROR_CACHED - No route found!"}}},"duration_from":{"days":{"driving":{"2116 4th Ave, Seattle, WA, 98121":"GOOGLE_MAPS_ERROR_CACHED - No route found!"}}}}</v>
      </c>
      <c r="J19" s="8" t="str">
        <f t="shared" si="3"/>
        <v>[{"short_name":"","types":[],"long_name":"Kazakhstan"},{"short_name":"KZ","long_name":"Kazakhstan","types":["country","political"]},{"short_name":"Қармақшы ауданы","types":["administrative_area_level_2","political"],"long_name":"Қармақшы ауданы"},{"long_name":"Қызылорда облысы","short_name":"Қызылорда облысы","types":["administrative_area_level_1","political"]},{"short_name":"KZ","long_name":"Kazakhstan","types":["country","political"]},{"short_name":"Қармақшы ауданы","types":["administrative_area_level_2","political"],"long_name":"Қармақшы ауданы"},{"long_name":"Қызылорда облысы","short_name":"Қызылорда облысы","types":["administrative_area_level_1","political"]},{"types":["latitude"],"long_name":45.9645851,"short_name":45.9645851},{"types":["longitude"],"long_name":63.30524269999999,"short_name":63.30524269999999},{"types":["debug_info","cache_load_result"],"long_name":"hit","short_name":"hit"}]</v>
      </c>
      <c r="K19" s="9" t="b">
        <f>NOT(AND(NOT(_xlfn.ISFORMULA(P19)),AND(NOT(_xlfn.ISFORMULA(Q19)),AND(NOT(_xlfn.ISFORMULA(R19)),AND(NOT(_xlfn.ISFORMULA(S19)),AND(NOT(_xlfn.ISFORMULA(T19)),AND(NOT(_xlfn.ISFORMULA(U19)),AND(NOT(_xlfn.ISFORMULA(V19))))))))))</f>
        <v>1</v>
      </c>
      <c r="L19" s="8" t="b">
        <f t="shared" si="4"/>
        <v>0</v>
      </c>
      <c r="M19" s="10" t="b">
        <v>1</v>
      </c>
      <c r="N19" s="8">
        <f>GOOGLEMAPS_GET_ADDRESS_LATITUDE(F19,true)</f>
        <v>45.9645851</v>
      </c>
      <c r="O19" s="8">
        <f>GOOGLEMAPS_GET_ADDRESS_LONGITUDE(F19,true)</f>
        <v>63.3052427</v>
      </c>
      <c r="P19" s="8" t="str">
        <f>GOOGLEMAPS_GET_ADDRESS_CITY(F19,true,false)</f>
        <v>UNDEFINED</v>
      </c>
      <c r="Q19" s="8" t="str">
        <f>GOOGLEMAPS_GET_ADDRESS_STATE(F19,true,false)</f>
        <v>Қызылорда облысы</v>
      </c>
      <c r="R19" s="8" t="str">
        <f>GOOGLEMAPS_GET_ADDRESS_POSTAL_CODE(F19,false,false)</f>
        <v>UNDEFINED</v>
      </c>
      <c r="S19" s="8" t="str">
        <f>GOOGLEMAPS_GET_ADDRESS_COUNTRY(F19,true,false)</f>
        <v>Kazakhstan</v>
      </c>
      <c r="T19" s="11" t="str">
        <f>IFERROR(GOOGLEMAPS_DISTANCE("2116 4th Ave, Seattle, WA, 98121", F19, "driving")+0,"Not Driveable")</f>
        <v>Not Driveable</v>
      </c>
      <c r="U19" s="12" t="str">
        <f>iferror(GOOGLEMAPS_DURATION("2116 4th Ave, Seattle, WA, 98121", F19, "driving")+0,"Not Driveable")</f>
        <v>Not Driveable</v>
      </c>
      <c r="V19" s="13">
        <f>GOOGLEMAPS_DISTANCE("2116 4th Ave, Seattle, WA, 98121", F19, "flying")+0</f>
        <v>5962.106826</v>
      </c>
      <c r="W19" s="4"/>
      <c r="X19" s="4" t="str">
        <f t="shared" si="5"/>
        <v>N/A</v>
      </c>
      <c r="Y19" s="4"/>
      <c r="Z19" s="4" t="s">
        <v>38</v>
      </c>
    </row>
    <row r="20">
      <c r="A20" s="3" t="s">
        <v>32</v>
      </c>
      <c r="B20" s="4" t="s">
        <v>125</v>
      </c>
      <c r="C20" s="4"/>
      <c r="D20" s="4"/>
      <c r="E20" s="3" t="s">
        <v>43</v>
      </c>
      <c r="F20" s="4" t="s">
        <v>126</v>
      </c>
      <c r="G20" s="6" t="str">
        <f t="shared" si="1"/>
        <v>Link</v>
      </c>
      <c r="H20" s="3" t="s">
        <v>37</v>
      </c>
      <c r="I20" s="8" t="str">
        <f t="shared" si="2"/>
        <v>{"address_components":[{"types":["establishment","natural_feature"],"long_name":"Gobi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v>
      </c>
      <c r="J20" s="8" t="str">
        <f t="shared" si="3"/>
        <v>[{"types":["establishment","natural_feature"],"long_name":"Gobi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types":["debug_info","cache_load_result"],"long_name":"hit","short_name":"hit"}]</v>
      </c>
      <c r="K20" s="9" t="b">
        <f t="shared" ref="K20:K23" si="17">NOT(AND(NOT(_xlfn.ISFORMULA(P20)),AND(NOT(_xlfn.ISFORMULA(Q20)),AND(NOT(_xlfn.ISFORMULA(R20)),AND(NOT(_xlfn.ISFORMULA(S20)),AND(NOT(_xlfn.ISFORMULA(T20)),AND(NOT(_xlfn.ISFORMULA(U20)),AND(NOT(_xlfn.ISFORMULA(V20)),AND(NOT(_xlfn.ISFORMULA(N20)),NOT(_xlfn.ISFORMULA(O20)))))))))))</f>
        <v>0</v>
      </c>
      <c r="L20" s="8" t="b">
        <f t="shared" si="4"/>
        <v>0</v>
      </c>
      <c r="M20" s="10" t="b">
        <v>1</v>
      </c>
      <c r="N20" s="10">
        <v>42.7951536</v>
      </c>
      <c r="O20" s="10">
        <v>105.0323635</v>
      </c>
      <c r="P20" s="10" t="s">
        <v>127</v>
      </c>
      <c r="Q20" s="10" t="s">
        <v>128</v>
      </c>
      <c r="R20" s="10" t="s">
        <v>55</v>
      </c>
      <c r="S20" s="10" t="s">
        <v>129</v>
      </c>
      <c r="T20" s="19" t="s">
        <v>56</v>
      </c>
      <c r="U20" s="19" t="s">
        <v>56</v>
      </c>
      <c r="V20" s="18">
        <v>5554.92</v>
      </c>
      <c r="W20" s="4"/>
      <c r="X20" s="4" t="str">
        <f t="shared" si="5"/>
        <v>N/A</v>
      </c>
      <c r="Y20" s="4"/>
      <c r="Z20" s="4" t="s">
        <v>38</v>
      </c>
    </row>
    <row r="21">
      <c r="A21" s="3" t="s">
        <v>32</v>
      </c>
      <c r="B21" s="4" t="s">
        <v>130</v>
      </c>
      <c r="C21" s="4" t="s">
        <v>131</v>
      </c>
      <c r="D21" s="4"/>
      <c r="E21" s="3" t="s">
        <v>43</v>
      </c>
      <c r="F21" s="4" t="s">
        <v>126</v>
      </c>
      <c r="G21" s="6" t="str">
        <f t="shared" si="1"/>
        <v>Link</v>
      </c>
      <c r="H21" s="3" t="s">
        <v>37</v>
      </c>
      <c r="I21" s="8" t="str">
        <f t="shared" si="2"/>
        <v>{"address_components":[{"types":["establishment","natural_feature"],"long_name":"Gobi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v>
      </c>
      <c r="J21" s="8" t="str">
        <f t="shared" si="3"/>
        <v>[{"types":["establishment","natural_feature"],"long_name":"Gobi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types":["debug_info","cache_load_result"],"long_name":"hit","short_name":"hit"}]</v>
      </c>
      <c r="K21" s="9" t="b">
        <f t="shared" si="17"/>
        <v>0</v>
      </c>
      <c r="L21" s="8" t="b">
        <f t="shared" si="4"/>
        <v>0</v>
      </c>
      <c r="M21" s="10" t="b">
        <v>1</v>
      </c>
      <c r="N21" s="10">
        <v>42.7951536</v>
      </c>
      <c r="O21" s="10">
        <v>105.0323635</v>
      </c>
      <c r="P21" s="10" t="s">
        <v>127</v>
      </c>
      <c r="Q21" s="10" t="s">
        <v>128</v>
      </c>
      <c r="R21" s="10" t="s">
        <v>55</v>
      </c>
      <c r="S21" s="10" t="s">
        <v>129</v>
      </c>
      <c r="T21" s="19" t="s">
        <v>56</v>
      </c>
      <c r="U21" s="19" t="s">
        <v>56</v>
      </c>
      <c r="V21" s="18">
        <v>5554.92</v>
      </c>
      <c r="X21" s="4" t="str">
        <f t="shared" si="5"/>
        <v>N/A</v>
      </c>
      <c r="Z21" s="4" t="s">
        <v>38</v>
      </c>
    </row>
    <row r="22" hidden="1">
      <c r="A22" s="3" t="s">
        <v>32</v>
      </c>
      <c r="B22" s="4" t="s">
        <v>132</v>
      </c>
      <c r="C22" s="4" t="s">
        <v>133</v>
      </c>
      <c r="D22" s="4"/>
      <c r="E22" s="3" t="s">
        <v>134</v>
      </c>
      <c r="F22" s="4" t="s">
        <v>135</v>
      </c>
      <c r="G22" s="6" t="str">
        <f t="shared" si="1"/>
        <v>Link</v>
      </c>
      <c r="H22" s="3" t="s">
        <v>136</v>
      </c>
      <c r="I22" s="8" t="str">
        <f t="shared" si="2"/>
        <v>{"address_components":[{"long_name":"Attu Station","short_name":"Attu Station","types":["locality","political"]},{"types":["administrative_area_level_2","political"],"short_name":"Aleutians West Census Area","long_name":"Aleutians West Census Area"},{"long_name":"Alaska","types":["administrative_area_level_1","political"],"short_name":"AK"},{"short_name":"US","types":["country","political"],"long_name":"United States"},{"long_name":"Beach Road","short_name":"Beach Rd","types":["route"]},{"long_name":"Attu Station","short_name":"Attu Station","types":["locality","political"]},{"short_name":"Aleutians West Census Area","types":["administrative_area_level_2","political"],"long_name":"Aleutians West Census Area"},{"long_name":"Alaska","types":["administrative_area_level_1","political"],"short_name":"AK"},{"long_name":"United States","short_name":"US","types":["country","political"]},{"types":["latitude"],"long_name":52.8468574,"short_name":52.8468574},{"types":["longitude"],"long_name":173.2011444,"short_name":173.2011444}]}</v>
      </c>
      <c r="J22" s="8" t="str">
        <f t="shared" si="3"/>
        <v>[{"long_name":"Attu Station","short_name":"Attu Station","types":["locality","political"]},{"types":["administrative_area_level_2","political"],"short_name":"Aleutians West Census Area","long_name":"Aleutians West Census Area"},{"long_name":"Alaska","types":["administrative_area_level_1","political"],"short_name":"AK"},{"short_name":"US","types":["country","political"],"long_name":"United States"},{"long_name":"Beach Road","short_name":"Beach Rd","types":["route"]},{"long_name":"Attu Station","short_name":"Attu Station","types":["locality","political"]},{"short_name":"Aleutians West Census Area","types":["administrative_area_level_2","political"],"long_name":"Aleutians West Census Area"},{"long_name":"Alaska","types":["administrative_area_level_1","political"],"short_name":"AK"},{"long_name":"United States","short_name":"US","types":["country","political"]},{"types":["latitude"],"long_name":52.8468574,"short_name":52.8468574},{"types":["longitude"],"long_name":173.2011444,"short_name":173.2011444},{"types":["debug_info","cache_load_result"],"long_name":"hit","short_name":"hit"}]</v>
      </c>
      <c r="K22" s="9" t="b">
        <f t="shared" si="17"/>
        <v>0</v>
      </c>
      <c r="L22" s="8" t="b">
        <f t="shared" si="4"/>
        <v>1</v>
      </c>
      <c r="M22" s="10" t="b">
        <v>1</v>
      </c>
      <c r="N22" s="10">
        <v>52.8468574</v>
      </c>
      <c r="O22" s="10">
        <v>173.2011444</v>
      </c>
      <c r="P22" s="15" t="s">
        <v>132</v>
      </c>
      <c r="Q22" s="15" t="s">
        <v>137</v>
      </c>
      <c r="R22" s="10" t="s">
        <v>55</v>
      </c>
      <c r="S22" s="15" t="s">
        <v>47</v>
      </c>
      <c r="T22" s="22" t="s">
        <v>56</v>
      </c>
      <c r="U22" s="23" t="s">
        <v>56</v>
      </c>
      <c r="V22" s="18">
        <v>2774.77</v>
      </c>
      <c r="W22" s="4"/>
      <c r="X22" s="4" t="str">
        <f t="shared" si="5"/>
        <v>N/A</v>
      </c>
      <c r="Y22" s="4"/>
      <c r="Z22" s="4" t="s">
        <v>38</v>
      </c>
    </row>
    <row r="23">
      <c r="A23" s="3" t="s">
        <v>32</v>
      </c>
      <c r="B23" s="4" t="s">
        <v>138</v>
      </c>
      <c r="C23" s="4" t="s">
        <v>139</v>
      </c>
      <c r="D23" s="4"/>
      <c r="E23" s="3" t="s">
        <v>100</v>
      </c>
      <c r="F23" s="4" t="s">
        <v>126</v>
      </c>
      <c r="G23" s="6" t="str">
        <f t="shared" si="1"/>
        <v>Link</v>
      </c>
      <c r="H23" s="3" t="s">
        <v>37</v>
      </c>
      <c r="I23" s="8" t="str">
        <f t="shared" si="2"/>
        <v>{"address_components":[{"types":["establishment","natural_feature"],"long_name":"Gobi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v>
      </c>
      <c r="J23" s="8" t="str">
        <f t="shared" si="3"/>
        <v>[{"types":["establishment","natural_feature"],"long_name":"Gobi Desert","short_name":"Gobi Desert"},{"long_name":"Q2WJ+3W","short_name":"Q2WJ+3W","types":["plus_code"]},{"long_name":"Nomgon","types":["locality","political"],"short_name":"Nomgon"},{"long_name":"Nomgon","short_name":"Nomgon","types":["administrative_area_level_2","political"]},{"types":["administrative_area_level_1","political"],"short_name":"Ömnögovi","long_name":"Ömnögovi"},{"long_name":"Mongolia","types":["country","political"],"short_name":"MN"},{"types":["latitude"],"long_name":42.7951536,"short_name":42.7951536},{"types":["longitude"],"long_name":105.0323635,"short_name":105.0323635},{"types":["debug_info","cache_load_result"],"long_name":"hit","short_name":"hit"}]</v>
      </c>
      <c r="K23" s="9" t="b">
        <f t="shared" si="17"/>
        <v>0</v>
      </c>
      <c r="L23" s="8" t="b">
        <f t="shared" si="4"/>
        <v>0</v>
      </c>
      <c r="M23" s="10" t="b">
        <v>1</v>
      </c>
      <c r="N23" s="10">
        <v>42.7951536</v>
      </c>
      <c r="O23" s="10">
        <v>105.0323635</v>
      </c>
      <c r="P23" s="10" t="s">
        <v>127</v>
      </c>
      <c r="Q23" s="10" t="s">
        <v>128</v>
      </c>
      <c r="R23" s="10" t="s">
        <v>55</v>
      </c>
      <c r="S23" s="10" t="s">
        <v>129</v>
      </c>
      <c r="T23" s="19" t="s">
        <v>56</v>
      </c>
      <c r="U23" s="19" t="s">
        <v>56</v>
      </c>
      <c r="V23" s="18">
        <v>5554.92</v>
      </c>
      <c r="W23" s="4"/>
      <c r="X23" s="4" t="str">
        <f t="shared" si="5"/>
        <v>N/A</v>
      </c>
      <c r="Y23" s="4"/>
      <c r="Z23" s="4" t="s">
        <v>38</v>
      </c>
    </row>
    <row r="24" hidden="1">
      <c r="A24" s="3" t="s">
        <v>32</v>
      </c>
      <c r="B24" s="4" t="s">
        <v>140</v>
      </c>
      <c r="C24" s="4" t="s">
        <v>141</v>
      </c>
      <c r="D24" s="4" t="s">
        <v>142</v>
      </c>
      <c r="E24" s="3" t="s">
        <v>68</v>
      </c>
      <c r="F24" s="4" t="s">
        <v>143</v>
      </c>
      <c r="G24" s="6" t="str">
        <f t="shared" si="1"/>
        <v>Link</v>
      </c>
      <c r="H24" s="3" t="s">
        <v>120</v>
      </c>
      <c r="I24" s="7" t="str">
        <f t="shared" si="2"/>
        <v>{"address_components":[{"long_name":"Cheyenne Mountain","short_name":"Cheyenne Mountain","types":["establishment","natural_feature"]},{"long_name":"El Paso County","short_name":"El Paso County","types":["administrative_area_level_2","political"]},{"types":["administrative_area_level_1","political"],"long_name":"Colorado","short_name":"CO"},{"types":["country","political"],"long_name":"United States","short_name":"US"},{"short_name":"80926","types":["postal_code"],"long_name":"80926"},{"long_name":"P4P9+VM","short_name":"P4P9+VM","types":["plus_code"]},{"types":["neighborhood","political"],"short_name":"Rock Creek","long_name":"Rock Creek"},{"short_name":"Colorado Springs","types":["locality","political"],"long_name":"Colorado Springs"},{"short_name":"El Paso County","types":["administrative_area_level_2","political"],"long_name":"El Paso County"},{"long_name":"Colorado","short_name":"CO","types":["administrative_area_level_1","political"]},{"long_name":"United States","short_name":"US","types":["country","political"]},{"types":["latitude"],"long_name":38.7372129,"short_name":38.7372129},{"types":["longitude"],"long_name":-104.8808063,"short_name":-104.8808063}],"distance_from":{"mi":{"flying":{"2116 4th Ave, Seattle, WA, 98121":1068.55108305268},"driving":{"2116 4th Ave, Seattle, WA, 98121":1389.0159941342415}}},"duration_from":{"days":{"driving":{"2116 4th Ave, Seattle, WA, 98121":0.8811342592592593}}}}</v>
      </c>
      <c r="J24" s="8" t="str">
        <f t="shared" si="3"/>
        <v>[{"long_name":"Cheyenne Mountain","short_name":"Cheyenne Mountain","types":["establishment","natural_feature"]},{"long_name":"El Paso County","short_name":"El Paso County","types":["administrative_area_level_2","political"]},{"types":["administrative_area_level_1","political"],"long_name":"Colorado","short_name":"CO"},{"types":["country","political"],"long_name":"United States","short_name":"US"},{"short_name":"80926","types":["postal_code"],"long_name":"80926"},{"long_name":"P4P9+VM","short_name":"P4P9+VM","types":["plus_code"]},{"types":["neighborhood","political"],"short_name":"Rock Creek","long_name":"Rock Creek"},{"short_name":"Colorado Springs","types":["locality","political"],"long_name":"Colorado Springs"},{"short_name":"El Paso County","types":["administrative_area_level_2","political"],"long_name":"El Paso County"},{"long_name":"Colorado","short_name":"CO","types":["administrative_area_level_1","political"]},{"long_name":"United States","short_name":"US","types":["country","political"]},{"types":["latitude"],"long_name":38.7372129,"short_name":38.7372129},{"types":["longitude"],"long_name":-104.8808063,"short_name":-104.8808063},{"types":["debug_info","cache_load_result"],"long_name":"hit","short_name":"hit"}]</v>
      </c>
      <c r="K24" s="9" t="b">
        <f t="shared" ref="K24:K27" si="18">NOT(AND(NOT(_xlfn.ISFORMULA(P24)),AND(NOT(_xlfn.ISFORMULA(Q24)),AND(NOT(_xlfn.ISFORMULA(R24)),AND(NOT(_xlfn.ISFORMULA(S24)),AND(NOT(_xlfn.ISFORMULA(T24)),AND(NOT(_xlfn.ISFORMULA(U24)),AND(NOT(_xlfn.ISFORMULA(V24))))))))))</f>
        <v>1</v>
      </c>
      <c r="L24" s="8" t="b">
        <f t="shared" si="4"/>
        <v>0</v>
      </c>
      <c r="M24" s="10" t="b">
        <v>1</v>
      </c>
      <c r="N24" s="8">
        <f t="shared" ref="N24:N27" si="19">GOOGLEMAPS_GET_ADDRESS_LATITUDE(F24,true)</f>
        <v>38.7372129</v>
      </c>
      <c r="O24" s="8">
        <f t="shared" ref="O24:O27" si="20">GOOGLEMAPS_GET_ADDRESS_LONGITUDE(F24,true)</f>
        <v>-104.8808063</v>
      </c>
      <c r="P24" s="8" t="str">
        <f t="shared" ref="P24:P27" si="21">GOOGLEMAPS_GET_ADDRESS_CITY(F24,true,false)</f>
        <v>Colorado Springs</v>
      </c>
      <c r="Q24" s="8" t="str">
        <f t="shared" ref="Q24:Q27" si="22">GOOGLEMAPS_GET_ADDRESS_STATE(F24,true,false)</f>
        <v>Colorado</v>
      </c>
      <c r="R24" s="8" t="str">
        <f t="shared" ref="R24:R27" si="23">GOOGLEMAPS_GET_ADDRESS_POSTAL_CODE(F24,false,false)</f>
        <v>80926</v>
      </c>
      <c r="S24" s="8" t="str">
        <f t="shared" ref="S24:S27" si="24">GOOGLEMAPS_GET_ADDRESS_COUNTRY(F24,true,false)</f>
        <v>United States</v>
      </c>
      <c r="T24" s="11">
        <f t="shared" ref="T24:T27" si="25">IFERROR(GOOGLEMAPS_DISTANCE("2116 4th Ave, Seattle, WA, 98121", F24, "driving")+0,"Not Driveable")</f>
        <v>1389.015994</v>
      </c>
      <c r="U24" s="12">
        <f t="shared" ref="U24:U27" si="26">iferror(GOOGLEMAPS_DURATION("2116 4th Ave, Seattle, WA, 98121", F24, "driving")+0,"Not Driveable")</f>
        <v>0.8811342593</v>
      </c>
      <c r="V24" s="13">
        <f t="shared" ref="V24:V27" si="27">GOOGLEMAPS_DISTANCE("2116 4th Ave, Seattle, WA, 98121", F24, "flying")+0</f>
        <v>1068.551083</v>
      </c>
      <c r="X24" s="4" t="str">
        <f t="shared" si="5"/>
        <v>N/A</v>
      </c>
      <c r="Y24" s="4"/>
      <c r="Z24" s="4" t="s">
        <v>38</v>
      </c>
      <c r="AB24" s="14" t="s">
        <v>69</v>
      </c>
    </row>
    <row r="25">
      <c r="A25" s="3" t="s">
        <v>32</v>
      </c>
      <c r="B25" s="4" t="s">
        <v>144</v>
      </c>
      <c r="C25" s="4" t="s">
        <v>145</v>
      </c>
      <c r="D25" s="4" t="s">
        <v>146</v>
      </c>
      <c r="E25" s="3" t="s">
        <v>147</v>
      </c>
      <c r="F25" s="4" t="s">
        <v>144</v>
      </c>
      <c r="G25" s="6" t="str">
        <f t="shared" si="1"/>
        <v>Link</v>
      </c>
      <c r="H25" s="5"/>
      <c r="I25" s="7" t="str">
        <f t="shared" si="2"/>
        <v>{"address_components":[{"long_name":"Cortile del Belvedere","short_name":"Cortile del Belvedere","types":["establishment","point_of_interest"]},{"types":["locality","political"],"long_name":"Città del Vaticano","short_name":"Città del Vaticano"},{"short_name":"VA","long_name":"Vatican City","types":["country","political"]},{"long_name":"00120","types":["postal_code"],"short_name":"00120"},{"short_name":"21","long_name":"21","types":["street_number"]},{"short_name":"Via di Porta Angelica","types":["route"],"long_name":"Via di Porta Angelica"},{"long_name":"Città del Vaticano","types":["locality","political"],"short_name":"Città del Vaticano"},{"short_name":"Roma","types":["administrative_area_level_3","political"],"long_name":"Roma"},{"short_name":"RM","long_name":"Città metropolitana di Roma Capitale","types":["administrative_area_level_2","political"]},{"short_name":"VA","long_name":"Vatican City","types":["country","political"]},{"types":["postal_code"],"long_name":"00193","short_name":"00193"},{"types":["latitude"],"long_name":41.9048842,"short_name":41.9048842},{"types":["longitude"],"long_name":12.4548805,"short_name":12.4548805}],"distance_from":{"mi":{"flying":{"2116 4th Ave, Seattle, WA, 98121":5663.0861098338455},"driving":{"2116 4th Ave, Seattle, WA, 98121":"GOOGLE_MAPS_ERROR_CACHED - No route found!"}}},"duration_from":{"days":{"driving":{"2116 4th Ave, Seattle, WA, 98121":"GOOGLE_MAPS_ERROR_CACHED - No route found!"}}}}</v>
      </c>
      <c r="J25" s="8" t="str">
        <f t="shared" si="3"/>
        <v>[{"long_name":"Cortile del Belvedere","short_name":"Cortile del Belvedere","types":["establishment","point_of_interest"]},{"types":["locality","political"],"long_name":"Città del Vaticano","short_name":"Città del Vaticano"},{"short_name":"VA","long_name":"Vatican City","types":["country","political"]},{"long_name":"00120","types":["postal_code"],"short_name":"00120"},{"short_name":"21","long_name":"21","types":["street_number"]},{"short_name":"Via di Porta Angelica","types":["route"],"long_name":"Via di Porta Angelica"},{"long_name":"Città del Vaticano","types":["locality","political"],"short_name":"Città del Vaticano"},{"short_name":"Roma","types":["administrative_area_level_3","political"],"long_name":"Roma"},{"short_name":"RM","long_name":"Città metropolitana di Roma Capitale","types":["administrative_area_level_2","political"]},{"short_name":"VA","long_name":"Vatican City","types":["country","political"]},{"types":["postal_code"],"long_name":"00193","short_name":"00193"},{"types":["latitude"],"long_name":41.9048842,"short_name":41.9048842},{"types":["longitude"],"long_name":12.4548805,"short_name":12.4548805},{"types":["debug_info","cache_load_result"],"long_name":"hit","short_name":"hit"}]</v>
      </c>
      <c r="K25" s="9" t="b">
        <f t="shared" si="18"/>
        <v>1</v>
      </c>
      <c r="L25" s="8" t="b">
        <f t="shared" si="4"/>
        <v>0</v>
      </c>
      <c r="M25" s="10" t="b">
        <v>1</v>
      </c>
      <c r="N25" s="8">
        <f t="shared" si="19"/>
        <v>41.9048842</v>
      </c>
      <c r="O25" s="8">
        <f t="shared" si="20"/>
        <v>12.4548805</v>
      </c>
      <c r="P25" s="8" t="str">
        <f t="shared" si="21"/>
        <v>Città del Vaticano</v>
      </c>
      <c r="Q25" s="8" t="str">
        <f t="shared" si="22"/>
        <v>UNDEFINED</v>
      </c>
      <c r="R25" s="8" t="str">
        <f t="shared" si="23"/>
        <v>00120</v>
      </c>
      <c r="S25" s="8" t="str">
        <f t="shared" si="24"/>
        <v>Vatican City</v>
      </c>
      <c r="T25" s="11" t="str">
        <f t="shared" si="25"/>
        <v>Not Driveable</v>
      </c>
      <c r="U25" s="12" t="str">
        <f t="shared" si="26"/>
        <v>Not Driveable</v>
      </c>
      <c r="V25" s="13">
        <f t="shared" si="27"/>
        <v>5663.08611</v>
      </c>
      <c r="X25" s="4" t="str">
        <f t="shared" si="5"/>
        <v>N/A</v>
      </c>
      <c r="Y25" s="4"/>
      <c r="Z25" s="4" t="s">
        <v>38</v>
      </c>
      <c r="AB25" s="14" t="s">
        <v>69</v>
      </c>
    </row>
    <row r="26">
      <c r="A26" s="3" t="s">
        <v>32</v>
      </c>
      <c r="B26" s="4" t="s">
        <v>148</v>
      </c>
      <c r="C26" s="4"/>
      <c r="D26" s="4"/>
      <c r="E26" s="3" t="s">
        <v>43</v>
      </c>
      <c r="F26" s="4" t="s">
        <v>149</v>
      </c>
      <c r="G26" s="6" t="str">
        <f t="shared" si="1"/>
        <v>Link</v>
      </c>
      <c r="H26" s="3" t="s">
        <v>45</v>
      </c>
      <c r="I26" s="8" t="str">
        <f t="shared" si="2"/>
        <v>{"address_components":[{"types":["political","sublocality","sublocality_level_3"],"long_name":"Houtouwan","short_name":"Houtouwan"},{"types":["political","sublocality","sublocality_level_1"],"long_name":"Shengsi County","short_name":"Shengsi County"},{"long_name":"Zhoushan","types":["locality","political"],"short_name":"Zhoushan"},{"long_name":"Zhejiang","short_name":"Zhejiang","types":["administrative_area_level_1","political"]},{"long_name":"China","short_name":"CN","types":["country","political"]},{"short_name":"202457","long_name":"202457","types":["postal_code"]},{"types":["plus_code"],"short_name":"PRFC+PC9","long_name":"PRFC+PC9"},{"short_name":"Shengsi County","long_name":"Shengsi County","types":["political","sublocality","sublocality_level_1"]},{"long_name":"Zhoushan","types":["locality","political"],"short_name":"Zhoushan"},{"short_name":"Zhejiang","types":["administrative_area_level_1","political"],"long_name":"Zhejiang"},{"short_name":"CN","long_name":"China","types":["country","political"]},{"long_name":"202457","types":["postal_code"],"short_name":"202457"},{"types":["latitude"],"long_name":30.72399399999999,"short_name":30.72399399999999},{"types":["longitude"],"long_name":122.822593,"short_name":122.822593}],"distance_from":{"mi":{"flying":{"2116 4th Ave, Seattle, WA, 98121":5686.46960865945},"driving":{"2116 4th Ave, Seattle, WA, 98121":"GOOGLE_MAPS_ERROR_CACHED - No route found!"}}},"duration_from":{"days":{"driving":{"2116 4th Ave, Seattle, WA, 98121":"GOOGLE_MAPS_ERROR_CACHED - No route found!"}}}}</v>
      </c>
      <c r="J26" s="8" t="str">
        <f t="shared" si="3"/>
        <v>[{"types":["political","sublocality","sublocality_level_3"],"long_name":"Houtouwan","short_name":"Houtouwan"},{"types":["political","sublocality","sublocality_level_1"],"long_name":"Shengsi County","short_name":"Shengsi County"},{"long_name":"Zhoushan","types":["locality","political"],"short_name":"Zhoushan"},{"long_name":"Zhejiang","short_name":"Zhejiang","types":["administrative_area_level_1","political"]},{"long_name":"China","short_name":"CN","types":["country","political"]},{"short_name":"202457","long_name":"202457","types":["postal_code"]},{"types":["plus_code"],"short_name":"PRFC+PC9","long_name":"PRFC+PC9"},{"short_name":"Shengsi County","long_name":"Shengsi County","types":["political","sublocality","sublocality_level_1"]},{"long_name":"Zhoushan","types":["locality","political"],"short_name":"Zhoushan"},{"short_name":"Zhejiang","types":["administrative_area_level_1","political"],"long_name":"Zhejiang"},{"short_name":"CN","long_name":"China","types":["country","political"]},{"long_name":"202457","types":["postal_code"],"short_name":"202457"},{"types":["latitude"],"long_name":30.72399399999999,"short_name":30.72399399999999},{"types":["longitude"],"long_name":122.822593,"short_name":122.822593},{"types":["debug_info","cache_load_result"],"long_name":"hit","short_name":"hit"}]</v>
      </c>
      <c r="K26" s="9" t="b">
        <f t="shared" si="18"/>
        <v>1</v>
      </c>
      <c r="L26" s="8" t="b">
        <f t="shared" si="4"/>
        <v>0</v>
      </c>
      <c r="M26" s="10" t="b">
        <v>1</v>
      </c>
      <c r="N26" s="8">
        <f t="shared" si="19"/>
        <v>30.723994</v>
      </c>
      <c r="O26" s="8">
        <f t="shared" si="20"/>
        <v>122.822593</v>
      </c>
      <c r="P26" s="8" t="str">
        <f t="shared" si="21"/>
        <v>Zhoushan</v>
      </c>
      <c r="Q26" s="8" t="str">
        <f t="shared" si="22"/>
        <v>Zhejiang</v>
      </c>
      <c r="R26" s="8" t="str">
        <f t="shared" si="23"/>
        <v>202457</v>
      </c>
      <c r="S26" s="8" t="str">
        <f t="shared" si="24"/>
        <v>China</v>
      </c>
      <c r="T26" s="11" t="str">
        <f t="shared" si="25"/>
        <v>Not Driveable</v>
      </c>
      <c r="U26" s="12" t="str">
        <f t="shared" si="26"/>
        <v>Not Driveable</v>
      </c>
      <c r="V26" s="13">
        <f t="shared" si="27"/>
        <v>5686.469609</v>
      </c>
      <c r="W26" s="4"/>
      <c r="X26" s="4" t="str">
        <f t="shared" si="5"/>
        <v>N/A</v>
      </c>
      <c r="Y26" s="4"/>
      <c r="Z26" s="4" t="s">
        <v>38</v>
      </c>
      <c r="AC26" s="14" t="s">
        <v>102</v>
      </c>
      <c r="AD26" s="4"/>
    </row>
    <row r="27">
      <c r="A27" s="3" t="s">
        <v>32</v>
      </c>
      <c r="B27" s="4" t="s">
        <v>150</v>
      </c>
      <c r="C27" s="4" t="s">
        <v>151</v>
      </c>
      <c r="D27" s="4" t="s">
        <v>152</v>
      </c>
      <c r="E27" s="3" t="s">
        <v>100</v>
      </c>
      <c r="F27" s="4" t="s">
        <v>150</v>
      </c>
      <c r="G27" s="6" t="str">
        <f t="shared" si="1"/>
        <v>Link</v>
      </c>
      <c r="H27" s="3" t="s">
        <v>120</v>
      </c>
      <c r="I27" s="7" t="str">
        <f t="shared" si="2"/>
        <v>{"distance_from":{"mi":{"driving":{"2116 4th Ave, Seattle, WA, 98121":"GOOGLE_MAPS_ERROR_CACHED - No route found!"},"flying":{"2116 4th Ave, Seattle, WA, 98121":6526.689201784583}}},"address_components":[{"long_name":"Cyprus","types":["country","political"],"short_name":"CY"},{"short_name":"4CGH+HW9","long_name":"4CGH+HW9","types":["plus_code"]},{"long_name":"Geri","types":["locality","political"],"short_name":"Geri"},{"long_name":"2201","types":["postal_code"],"short_name":"2201"},{"types":["latitude"],"long_name":35.126413,"short_name":35.126413},{"types":["longitude"],"long_name":33.429859,"short_name":33.429859}],"duration_from":{"days":{"driving":{"2116 4th Ave, Seattle, WA, 98121":"GOOGLE_MAPS_ERROR_CACHED - No route found!"}}}}</v>
      </c>
      <c r="J27" s="8" t="str">
        <f t="shared" si="3"/>
        <v>[{"long_name":"Cyprus","types":["country","political"],"short_name":"CY"},{"short_name":"4CGH+HW9","long_name":"4CGH+HW9","types":["plus_code"]},{"long_name":"Geri","types":["locality","political"],"short_name":"Geri"},{"long_name":"2201","types":["postal_code"],"short_name":"2201"},{"types":["latitude"],"long_name":35.126413,"short_name":35.126413},{"types":["longitude"],"long_name":33.429859,"short_name":33.429859},{"types":["debug_info","cache_load_result"],"long_name":"hit","short_name":"hit"}]</v>
      </c>
      <c r="K27" s="9" t="b">
        <f t="shared" si="18"/>
        <v>1</v>
      </c>
      <c r="L27" s="8" t="b">
        <f t="shared" si="4"/>
        <v>0</v>
      </c>
      <c r="M27" s="10" t="b">
        <v>1</v>
      </c>
      <c r="N27" s="8">
        <f t="shared" si="19"/>
        <v>35.126413</v>
      </c>
      <c r="O27" s="8">
        <f t="shared" si="20"/>
        <v>33.429859</v>
      </c>
      <c r="P27" s="8" t="str">
        <f t="shared" si="21"/>
        <v>Geri</v>
      </c>
      <c r="Q27" s="8" t="str">
        <f t="shared" si="22"/>
        <v>Nicosia</v>
      </c>
      <c r="R27" s="8" t="str">
        <f t="shared" si="23"/>
        <v>2201</v>
      </c>
      <c r="S27" s="8" t="str">
        <f t="shared" si="24"/>
        <v>Cyprus</v>
      </c>
      <c r="T27" s="11" t="str">
        <f t="shared" si="25"/>
        <v>Not Driveable</v>
      </c>
      <c r="U27" s="12" t="str">
        <f t="shared" si="26"/>
        <v>Not Driveable</v>
      </c>
      <c r="V27" s="13">
        <f t="shared" si="27"/>
        <v>6526.689202</v>
      </c>
      <c r="X27" s="4" t="str">
        <f t="shared" si="5"/>
        <v>N/A</v>
      </c>
      <c r="Y27" s="4"/>
      <c r="Z27" s="4" t="s">
        <v>38</v>
      </c>
      <c r="AB27" s="14" t="s">
        <v>69</v>
      </c>
    </row>
    <row r="28">
      <c r="A28" s="3" t="s">
        <v>32</v>
      </c>
      <c r="B28" s="4" t="s">
        <v>153</v>
      </c>
      <c r="C28" s="4" t="s">
        <v>154</v>
      </c>
      <c r="D28" s="4" t="s">
        <v>155</v>
      </c>
      <c r="E28" s="3" t="s">
        <v>100</v>
      </c>
      <c r="F28" s="4" t="s">
        <v>153</v>
      </c>
      <c r="G28" s="6" t="str">
        <f t="shared" si="1"/>
        <v>Link</v>
      </c>
      <c r="H28" s="3" t="s">
        <v>37</v>
      </c>
      <c r="I28" s="7" t="str">
        <f t="shared" si="2"/>
        <v>{"address_components":[{"short_name":"Aksai Chin","long_name":"Aksai Chin","types":["colloquial_area","political"]},{"short_name":"8J7X24JJ+HR","long_name":"8J7X24JJ+HR","types":["plus_code"]},{"types":["latitude"],"long_name":35.0313898,"short_name":35.0313898},{"types":["longitude"],"long_name":79.1321164,"short_name":79.1321164}]}</v>
      </c>
      <c r="J28" s="8" t="str">
        <f t="shared" si="3"/>
        <v>[{"short_name":"Aksai Chin","long_name":"Aksai Chin","types":["colloquial_area","political"]},{"short_name":"8J7X24JJ+HR","long_name":"8J7X24JJ+HR","types":["plus_code"]},{"types":["latitude"],"long_name":35.0313898,"short_name":35.0313898},{"types":["longitude"],"long_name":79.1321164,"short_name":79.1321164},{"types":["debug_info","cache_load_result"],"long_name":"hit","short_name":"hit"}]</v>
      </c>
      <c r="K28" s="9" t="b">
        <f>NOT(AND(NOT(_xlfn.ISFORMULA(P28)),AND(NOT(_xlfn.ISFORMULA(Q28)),AND(NOT(_xlfn.ISFORMULA(R28)),AND(NOT(_xlfn.ISFORMULA(S28)),AND(NOT(_xlfn.ISFORMULA(T28)),AND(NOT(_xlfn.ISFORMULA(U28)),AND(NOT(_xlfn.ISFORMULA(V28)),AND(NOT(_xlfn.ISFORMULA(N28)),NOT(_xlfn.ISFORMULA(O28)))))))))))</f>
        <v>0</v>
      </c>
      <c r="L28" s="8" t="b">
        <f t="shared" si="4"/>
        <v>0</v>
      </c>
      <c r="M28" s="10" t="b">
        <v>1</v>
      </c>
      <c r="N28" s="10">
        <v>35.0313898</v>
      </c>
      <c r="O28" s="10">
        <v>79.1321164</v>
      </c>
      <c r="P28" s="10" t="s">
        <v>55</v>
      </c>
      <c r="Q28" s="10" t="s">
        <v>55</v>
      </c>
      <c r="R28" s="10" t="s">
        <v>55</v>
      </c>
      <c r="S28" s="10" t="s">
        <v>55</v>
      </c>
      <c r="T28" s="19" t="s">
        <v>56</v>
      </c>
      <c r="U28" s="19" t="s">
        <v>56</v>
      </c>
      <c r="V28" s="18">
        <v>6573.95</v>
      </c>
      <c r="X28" s="4" t="str">
        <f t="shared" si="5"/>
        <v>N/A</v>
      </c>
      <c r="Y28" s="4"/>
      <c r="Z28" s="4" t="s">
        <v>38</v>
      </c>
      <c r="AB28" s="14" t="s">
        <v>69</v>
      </c>
    </row>
    <row r="29">
      <c r="A29" s="3" t="s">
        <v>32</v>
      </c>
      <c r="B29" s="4" t="s">
        <v>156</v>
      </c>
      <c r="C29" s="4"/>
      <c r="D29" s="4"/>
      <c r="E29" s="3" t="s">
        <v>43</v>
      </c>
      <c r="F29" s="4" t="s">
        <v>157</v>
      </c>
      <c r="G29" s="6" t="str">
        <f t="shared" si="1"/>
        <v>Link</v>
      </c>
      <c r="H29" s="3" t="s">
        <v>37</v>
      </c>
      <c r="I29" s="8" t="str">
        <f t="shared" si="2"/>
        <v>{"address_components":[{"long_name":"Sikkim","types":["administrative_area_level_1","political"],"short_name":"SK"},{"long_name":"India","types":["country","political"],"short_name":"IN"},{"short_name":"982F+MH","long_name":"982F+MH","types":["plus_code"]},{"short_name":"Gangyep","long_name":"Gangyep","types":["locality","political"]},{"short_name":"South Sikkim","long_name":"South Sikkim","types":["administrative_area_level_3","political"]},{"long_name":"Sikkim","types":["administrative_area_level_1","political"],"short_name":"SK"},{"short_name":"IN","long_name":"India","types":["country","political"]},{"short_name":"737111","long_name":"737111","types":["postal_code"]},{"types":["latitude"],"long_name":27.3516407,"short_name":27.3516407},{"types":["longitude"],"long_name":88.32393090000001,"short_name":88.32393090000001}],"distance_from":{"mi":{"flying":{"2116 4th Ave, Seattle, WA, 98121":6917.438825854078},"driving":{"2116 4th Ave, Seattle, WA, 98121":"GOOGLE_MAPS_ERROR_CACHED - No route found!"}}},"duration_from":{"days":{"driving":{"2116 4th Ave, Seattle, WA, 98121":"GOOGLE_MAPS_ERROR_CACHED - No route found!"}}}}</v>
      </c>
      <c r="J29" s="8" t="str">
        <f t="shared" si="3"/>
        <v>[{"long_name":"Sikkim","types":["administrative_area_level_1","political"],"short_name":"SK"},{"long_name":"India","types":["country","political"],"short_name":"IN"},{"short_name":"982F+MH","long_name":"982F+MH","types":["plus_code"]},{"short_name":"Gangyep","long_name":"Gangyep","types":["locality","political"]},{"short_name":"South Sikkim","long_name":"South Sikkim","types":["administrative_area_level_3","political"]},{"long_name":"Sikkim","types":["administrative_area_level_1","political"],"short_name":"SK"},{"short_name":"IN","long_name":"India","types":["country","political"]},{"short_name":"737111","long_name":"737111","types":["postal_code"]},{"types":["latitude"],"long_name":27.3516407,"short_name":27.3516407},{"types":["longitude"],"long_name":88.32393090000001,"short_name":88.32393090000001},{"types":["debug_info","cache_load_result"],"long_name":"hit","short_name":"hit"}]</v>
      </c>
      <c r="K29" s="9" t="b">
        <f t="shared" ref="K29:K31" si="28">NOT(AND(NOT(_xlfn.ISFORMULA(P29)),AND(NOT(_xlfn.ISFORMULA(Q29)),AND(NOT(_xlfn.ISFORMULA(R29)),AND(NOT(_xlfn.ISFORMULA(S29)),AND(NOT(_xlfn.ISFORMULA(T29)),AND(NOT(_xlfn.ISFORMULA(U29)),AND(NOT(_xlfn.ISFORMULA(V29))))))))))</f>
        <v>1</v>
      </c>
      <c r="L29" s="8" t="b">
        <f t="shared" si="4"/>
        <v>0</v>
      </c>
      <c r="M29" s="15" t="b">
        <v>1</v>
      </c>
      <c r="N29" s="8">
        <f t="shared" ref="N29:N31" si="29">GOOGLEMAPS_GET_ADDRESS_LATITUDE(F29,true)</f>
        <v>27.3516407</v>
      </c>
      <c r="O29" s="8">
        <f t="shared" ref="O29:O31" si="30">GOOGLEMAPS_GET_ADDRESS_LONGITUDE(F29,true)</f>
        <v>88.3239309</v>
      </c>
      <c r="P29" s="8" t="str">
        <f t="shared" ref="P29:P31" si="31">GOOGLEMAPS_GET_ADDRESS_CITY(F29,true,false)</f>
        <v>Gangyep</v>
      </c>
      <c r="Q29" s="8" t="str">
        <f t="shared" ref="Q29:Q31" si="32">GOOGLEMAPS_GET_ADDRESS_STATE(F29,true,false)</f>
        <v>Sikkim</v>
      </c>
      <c r="R29" s="8" t="str">
        <f t="shared" ref="R29:R31" si="33">GOOGLEMAPS_GET_ADDRESS_POSTAL_CODE(F29,false,false)</f>
        <v>737111</v>
      </c>
      <c r="S29" s="8" t="str">
        <f t="shared" ref="S29:S31" si="34">GOOGLEMAPS_GET_ADDRESS_COUNTRY(F29,true,false)</f>
        <v>India</v>
      </c>
      <c r="T29" s="11" t="str">
        <f t="shared" ref="T29:T31" si="35">IFERROR(GOOGLEMAPS_DISTANCE("2116 4th Ave, Seattle, WA, 98121", F29, "driving")+0,"Not Driveable")</f>
        <v>Not Driveable</v>
      </c>
      <c r="U29" s="12" t="str">
        <f t="shared" ref="U29:U31" si="36">iferror(GOOGLEMAPS_DURATION("2116 4th Ave, Seattle, WA, 98121", F29, "driving")+0,"Not Driveable")</f>
        <v>Not Driveable</v>
      </c>
      <c r="V29" s="13">
        <f t="shared" ref="V29:V31" si="37">GOOGLEMAPS_DISTANCE("2116 4th Ave, Seattle, WA, 98121", F29, "flying")+0</f>
        <v>6917.438826</v>
      </c>
      <c r="W29" s="4"/>
      <c r="X29" s="4" t="str">
        <f t="shared" si="5"/>
        <v>N/A</v>
      </c>
      <c r="Y29" s="4"/>
      <c r="Z29" s="4" t="s">
        <v>38</v>
      </c>
    </row>
    <row r="30">
      <c r="A30" s="3" t="s">
        <v>32</v>
      </c>
      <c r="B30" s="4" t="s">
        <v>158</v>
      </c>
      <c r="C30" s="4"/>
      <c r="D30" s="4"/>
      <c r="E30" s="3" t="s">
        <v>159</v>
      </c>
      <c r="F30" s="4" t="s">
        <v>160</v>
      </c>
      <c r="G30" s="6" t="str">
        <f t="shared" si="1"/>
        <v>Link</v>
      </c>
      <c r="H30" s="3" t="s">
        <v>136</v>
      </c>
      <c r="I30" s="8" t="str">
        <f t="shared" si="2"/>
        <v>{"distance_from":{"mi":{"flying":{"2116 4th Ave, Seattle, WA, 98121":7299.2997129257965},"driving":{"2116 4th Ave, Seattle, WA, 98121":"GOOGLE_MAPS_ERROR_CACHED - No route found!"}}},"address_components":[{"long_name":"Thailand","short_name":"TH","types":["country","political"]},{"types":["street_number"],"long_name":"413","short_name":"413"},{"long_name":"2","types":["route"],"short_name":"2"},{"long_name":"ต.ทับช้าง","types":["locality","political"],"short_name":"ต.ทับช้าง"},{"types":["administrative_area_level_2","political"],"short_name":"อำเภอเมืองเพชรบูรณ์","long_name":"อำเภอเมืองเพชรบูรณ์"},{"short_name":"จ.เพชรบูรณ์","types":["administrative_area_level_1","political"],"long_name":"Chang Wat Phetchabun"},{"short_name":"TH","long_name":"Thailand","types":["country","political"]},{"types":["postal_code"],"long_name":"67000","short_name":"67000"},{"types":["latitude"],"long_name":15.870032,"short_name":15.870032},{"types":["longitude"],"long_name":100.992541,"short_name":100.992541}],"duration_from":{"days":{"driving":{"2116 4th Ave, Seattle, WA, 98121":"GOOGLE_MAPS_ERROR_CACHED - No route found!"}}}}</v>
      </c>
      <c r="J30" s="8" t="str">
        <f t="shared" si="3"/>
        <v>[{"long_name":"Thailand","short_name":"TH","types":["country","political"]},{"types":["street_number"],"long_name":"413","short_name":"413"},{"long_name":"2","types":["route"],"short_name":"2"},{"long_name":"ต.ทับช้าง","types":["locality","political"],"short_name":"ต.ทับช้าง"},{"types":["administrative_area_level_2","political"],"short_name":"อำเภอเมืองเพชรบูรณ์","long_name":"อำเภอเมืองเพชรบูรณ์"},{"short_name":"จ.เพชรบูรณ์","types":["administrative_area_level_1","political"],"long_name":"Chang Wat Phetchabun"},{"short_name":"TH","long_name":"Thailand","types":["country","political"]},{"types":["postal_code"],"long_name":"67000","short_name":"67000"},{"types":["latitude"],"long_name":15.870032,"short_name":15.870032},{"types":["longitude"],"long_name":100.992541,"short_name":100.992541},{"types":["debug_info","cache_load_result"],"long_name":"hit","short_name":"hit"}]</v>
      </c>
      <c r="K30" s="9" t="b">
        <f t="shared" si="28"/>
        <v>1</v>
      </c>
      <c r="L30" s="8" t="b">
        <f t="shared" si="4"/>
        <v>0</v>
      </c>
      <c r="M30" s="10" t="b">
        <v>1</v>
      </c>
      <c r="N30" s="8">
        <f t="shared" si="29"/>
        <v>15.870032</v>
      </c>
      <c r="O30" s="8">
        <f t="shared" si="30"/>
        <v>100.992541</v>
      </c>
      <c r="P30" s="8" t="str">
        <f t="shared" si="31"/>
        <v>ต.ทับช้าง</v>
      </c>
      <c r="Q30" s="8" t="str">
        <f t="shared" si="32"/>
        <v>Chang Wat Phetchabun</v>
      </c>
      <c r="R30" s="8" t="str">
        <f t="shared" si="33"/>
        <v>67000</v>
      </c>
      <c r="S30" s="8" t="str">
        <f t="shared" si="34"/>
        <v>Thailand</v>
      </c>
      <c r="T30" s="11" t="str">
        <f t="shared" si="35"/>
        <v>Not Driveable</v>
      </c>
      <c r="U30" s="12" t="str">
        <f t="shared" si="36"/>
        <v>Not Driveable</v>
      </c>
      <c r="V30" s="13">
        <f t="shared" si="37"/>
        <v>7299.299713</v>
      </c>
      <c r="W30" s="4"/>
      <c r="X30" s="4" t="str">
        <f t="shared" si="5"/>
        <v>N/A</v>
      </c>
      <c r="Y30" s="4"/>
      <c r="Z30" s="4" t="s">
        <v>38</v>
      </c>
      <c r="AC30" s="14" t="s">
        <v>102</v>
      </c>
      <c r="AD30" s="4"/>
    </row>
    <row r="31">
      <c r="A31" s="3" t="s">
        <v>32</v>
      </c>
      <c r="B31" s="4" t="s">
        <v>161</v>
      </c>
      <c r="C31" s="4"/>
      <c r="D31" s="4"/>
      <c r="E31" s="3" t="s">
        <v>159</v>
      </c>
      <c r="F31" s="4" t="s">
        <v>162</v>
      </c>
      <c r="G31" s="6" t="str">
        <f t="shared" si="1"/>
        <v>Link</v>
      </c>
      <c r="H31" s="3" t="s">
        <v>37</v>
      </c>
      <c r="I31" s="8" t="str">
        <f t="shared" si="2"/>
        <v>{"address_components":[{"short_name":"Fitz Roy","long_name":"Fitz Roy","types":["establishment","natural_feature"]},{"types":["plus_code"],"short_name":"4728PXH4+GP","long_name":"4728PXH4+GP"},{"types":["latitude"],"long_name":-49.271246,"short_name":-49.271246},{"types":["longitude"],"long_name":-73.04322599999999,"short_name":-73.04322599999999}],"distance_from":{"mi":{"driving":{"2116 4th Ave, Seattle, WA, 98121":"GOOGLE_MAPS_ERROR_CACHED - No route found!"},"flying":{"2116 4th Ave, Seattle, WA, 98121":7312.655498527347}}},"duration_from":{"days":{"driving":{"2116 4th Ave, Seattle, WA, 98121":"GOOGLE_MAPS_ERROR_CACHED - No route found!"}}}}</v>
      </c>
      <c r="J31" s="8" t="str">
        <f t="shared" si="3"/>
        <v>[{"short_name":"Fitz Roy","long_name":"Fitz Roy","types":["establishment","natural_feature"]},{"types":["plus_code"],"short_name":"4728PXH4+GP","long_name":"4728PXH4+GP"},{"types":["latitude"],"long_name":-49.271246,"short_name":-49.271246},{"types":["longitude"],"long_name":-73.04322599999999,"short_name":-73.04322599999999},{"types":["debug_info","cache_load_result"],"long_name":"hit","short_name":"hit"}]</v>
      </c>
      <c r="K31" s="9" t="b">
        <f t="shared" si="28"/>
        <v>1</v>
      </c>
      <c r="L31" s="8" t="b">
        <f t="shared" si="4"/>
        <v>0</v>
      </c>
      <c r="M31" s="10" t="b">
        <v>1</v>
      </c>
      <c r="N31" s="8">
        <f t="shared" si="29"/>
        <v>-49.271246</v>
      </c>
      <c r="O31" s="8">
        <f t="shared" si="30"/>
        <v>-73.043226</v>
      </c>
      <c r="P31" s="8" t="str">
        <f t="shared" si="31"/>
        <v>UNDEFINED</v>
      </c>
      <c r="Q31" s="8" t="str">
        <f t="shared" si="32"/>
        <v>UNDEFINED</v>
      </c>
      <c r="R31" s="8" t="str">
        <f t="shared" si="33"/>
        <v>UNDEFINED</v>
      </c>
      <c r="S31" s="8" t="str">
        <f t="shared" si="34"/>
        <v>UNDEFINED</v>
      </c>
      <c r="T31" s="11" t="str">
        <f t="shared" si="35"/>
        <v>Not Driveable</v>
      </c>
      <c r="U31" s="12" t="str">
        <f t="shared" si="36"/>
        <v>Not Driveable</v>
      </c>
      <c r="V31" s="13">
        <f t="shared" si="37"/>
        <v>7312.655499</v>
      </c>
      <c r="W31" s="4"/>
      <c r="X31" s="4" t="str">
        <f t="shared" si="5"/>
        <v>N/A</v>
      </c>
      <c r="Y31" s="4"/>
      <c r="Z31" s="4" t="s">
        <v>38</v>
      </c>
    </row>
    <row r="32">
      <c r="A32" s="3" t="s">
        <v>32</v>
      </c>
      <c r="B32" s="4" t="s">
        <v>163</v>
      </c>
      <c r="C32" s="4" t="s">
        <v>164</v>
      </c>
      <c r="D32" s="4"/>
      <c r="E32" s="3" t="s">
        <v>43</v>
      </c>
      <c r="F32" s="4" t="s">
        <v>165</v>
      </c>
      <c r="G32" s="6" t="str">
        <f t="shared" si="1"/>
        <v>Link</v>
      </c>
      <c r="H32" s="3" t="s">
        <v>45</v>
      </c>
      <c r="I32" s="8" t="str">
        <f t="shared" si="2"/>
        <v>{"address_components":[{"short_name":"Al Madam","long_name":"Al Madam","types":["locality","political"]},{"long_name":"Sharjah","types":["administrative_area_level_1","political"],"short_name":"Sharjah"},{"long_name":"United Arab Emirates","short_name":"AE","types":["country","political"]},{"types":["establishment","park","point_of_interest"],"short_name":"Dr. Alfateen bin hussein Albaddad private resort","long_name":"Dr. Alfateen bin hussein Albaddad private resort"},{"long_name":"XQFG+FV9","types":["plus_code"],"short_name":"XQFG+FV9"},{"long_name":"Al Madam","short_name":"Al Madam","types":["political","sublocality","sublocality_level_1"]},{"types":["locality","political"],"long_name":"Al Madam","short_name":"Al Madam"},{"short_name":"Sharjah","long_name":"Sharjah","types":["administrative_area_level_1","political"]},{"long_name":"United Arab Emirates","short_name":"AE","types":["country","political"]},{"types":["latitude"],"long_name":24.973654,"short_name":24.973654},{"types":["longitude"],"long_name":55.777229,"short_name":55.777229}]}</v>
      </c>
      <c r="J32" s="8" t="str">
        <f t="shared" si="3"/>
        <v>[{"short_name":"Al Madam","long_name":"Al Madam","types":["locality","political"]},{"long_name":"Sharjah","types":["administrative_area_level_1","political"],"short_name":"Sharjah"},{"long_name":"United Arab Emirates","short_name":"AE","types":["country","political"]},{"types":["establishment","park","point_of_interest"],"short_name":"Dr. Alfateen bin hussein Albaddad private resort","long_name":"Dr. Alfateen bin hussein Albaddad private resort"},{"long_name":"XQFG+FV9","types":["plus_code"],"short_name":"XQFG+FV9"},{"long_name":"Al Madam","short_name":"Al Madam","types":["political","sublocality","sublocality_level_1"]},{"types":["locality","political"],"long_name":"Al Madam","short_name":"Al Madam"},{"short_name":"Sharjah","long_name":"Sharjah","types":["administrative_area_level_1","political"]},{"long_name":"United Arab Emirates","short_name":"AE","types":["country","political"]},{"types":["latitude"],"long_name":24.973654,"short_name":24.973654},{"types":["longitude"],"long_name":55.777229,"short_name":55.777229},{"types":["debug_info","cache_load_result"],"long_name":"hit","short_name":"hit"}]</v>
      </c>
      <c r="K32" s="9" t="b">
        <f>NOT(AND(NOT(_xlfn.ISFORMULA(P32)),AND(NOT(_xlfn.ISFORMULA(Q32)),AND(NOT(_xlfn.ISFORMULA(R32)),AND(NOT(_xlfn.ISFORMULA(S32)),AND(NOT(_xlfn.ISFORMULA(T32)),AND(NOT(_xlfn.ISFORMULA(U32)),AND(NOT(_xlfn.ISFORMULA(V32)),AND(NOT(_xlfn.ISFORMULA(N32)),NOT(_xlfn.ISFORMULA(O32)))))))))))</f>
        <v>0</v>
      </c>
      <c r="L32" s="8" t="b">
        <f t="shared" si="4"/>
        <v>1</v>
      </c>
      <c r="M32" s="15" t="b">
        <v>1</v>
      </c>
      <c r="N32" s="10">
        <v>24.9736664</v>
      </c>
      <c r="O32" s="10">
        <v>55.7772097</v>
      </c>
      <c r="P32" s="15" t="s">
        <v>166</v>
      </c>
      <c r="Q32" s="10" t="s">
        <v>167</v>
      </c>
      <c r="R32" s="27" t="s">
        <v>55</v>
      </c>
      <c r="S32" s="15" t="s">
        <v>168</v>
      </c>
      <c r="T32" s="22" t="s">
        <v>56</v>
      </c>
      <c r="U32" s="23" t="s">
        <v>56</v>
      </c>
      <c r="V32" s="18">
        <v>7420.11</v>
      </c>
      <c r="X32" s="4" t="str">
        <f t="shared" si="5"/>
        <v>N/A</v>
      </c>
      <c r="Z32" s="4" t="s">
        <v>38</v>
      </c>
      <c r="AF32" s="4" t="s">
        <v>169</v>
      </c>
    </row>
    <row r="33">
      <c r="A33" s="3" t="s">
        <v>32</v>
      </c>
      <c r="B33" s="28" t="s">
        <v>170</v>
      </c>
      <c r="C33" s="28"/>
      <c r="D33" s="28"/>
      <c r="E33" s="29" t="s">
        <v>81</v>
      </c>
      <c r="F33" s="28" t="s">
        <v>170</v>
      </c>
      <c r="G33" s="6" t="str">
        <f t="shared" si="1"/>
        <v>Link</v>
      </c>
      <c r="H33" s="3" t="s">
        <v>37</v>
      </c>
      <c r="I33" s="8" t="str">
        <f t="shared" si="2"/>
        <v>{"address_components":[{"short_name":"Inaccessible Island","types":["establishment","natural_feature"],"long_name":"Inaccessible Island"},{"short_name":"Tristan da Cunha","types":["administrative_area_level_1","political"],"long_name":"Tristan da Cunha"},{"long_name":"Saint Helena, Ascension and Tristan da Cunha","short_name":"SH","types":["country","political"]},{"long_name":"4CJ9M8XG+VM","short_name":"4CJ9M8XG+VM","types":["plus_code"]},{"types":["latitude"],"long_name":-37.3003564,"short_name":-37.3003564},{"types":["longitude"],"long_name":-12.6733009,"short_name":-12.6733009}],"distance_from":{"mi":{"flying":{"2116 4th Ave, Seattle, WA, 98121":8906.784147538743},"driving":{"2116 4th Ave, Seattle, WA, 98121":"GOOGLE_MAPS_ERROR_CACHED - No route found!"}}},"duration_from":{"days":{"driving":{"2116 4th Ave, Seattle, WA, 98121":"GOOGLE_MAPS_ERROR_CACHED - No route found!"}}}}</v>
      </c>
      <c r="J33" s="8" t="str">
        <f t="shared" si="3"/>
        <v>[{"short_name":"Inaccessible Island","types":["establishment","natural_feature"],"long_name":"Inaccessible Island"},{"short_name":"Tristan da Cunha","types":["administrative_area_level_1","political"],"long_name":"Tristan da Cunha"},{"long_name":"Saint Helena, Ascension and Tristan da Cunha","short_name":"SH","types":["country","political"]},{"long_name":"4CJ9M8XG+VM","short_name":"4CJ9M8XG+VM","types":["plus_code"]},{"types":["latitude"],"long_name":-37.3003564,"short_name":-37.3003564},{"types":["longitude"],"long_name":-12.6733009,"short_name":-12.6733009},{"types":["debug_info","cache_load_result"],"long_name":"hit","short_name":"hit"}]</v>
      </c>
      <c r="K33" s="9" t="b">
        <f t="shared" ref="K33:K34" si="38">NOT(AND(NOT(_xlfn.ISFORMULA(P33)),AND(NOT(_xlfn.ISFORMULA(Q33)),AND(NOT(_xlfn.ISFORMULA(R33)),AND(NOT(_xlfn.ISFORMULA(S33)),AND(NOT(_xlfn.ISFORMULA(T33)),AND(NOT(_xlfn.ISFORMULA(U33)),AND(NOT(_xlfn.ISFORMULA(V33))))))))))</f>
        <v>1</v>
      </c>
      <c r="L33" s="8" t="b">
        <f t="shared" si="4"/>
        <v>0</v>
      </c>
      <c r="M33" s="10" t="b">
        <v>1</v>
      </c>
      <c r="N33" s="8">
        <f t="shared" ref="N33:N34" si="39">GOOGLEMAPS_GET_ADDRESS_LATITUDE(F33,true)</f>
        <v>-37.3003564</v>
      </c>
      <c r="O33" s="8">
        <f t="shared" ref="O33:O34" si="40">GOOGLEMAPS_GET_ADDRESS_LONGITUDE(F33,true)</f>
        <v>-12.6733009</v>
      </c>
      <c r="P33" s="8" t="str">
        <f t="shared" ref="P33:P34" si="41">GOOGLEMAPS_GET_ADDRESS_CITY(F33,true,false)</f>
        <v>UNDEFINED</v>
      </c>
      <c r="Q33" s="8" t="str">
        <f t="shared" ref="Q33:Q34" si="42">GOOGLEMAPS_GET_ADDRESS_STATE(F33,true,false)</f>
        <v>Tristan da Cunha</v>
      </c>
      <c r="R33" s="8" t="str">
        <f t="shared" ref="R33:R34" si="43">GOOGLEMAPS_GET_ADDRESS_POSTAL_CODE(F33,false,false)</f>
        <v>UNDEFINED</v>
      </c>
      <c r="S33" s="8" t="str">
        <f t="shared" ref="S33:S34" si="44">GOOGLEMAPS_GET_ADDRESS_COUNTRY(F33,true,false)</f>
        <v>Saint Helena, Ascension and Tristan da Cunha</v>
      </c>
      <c r="T33" s="11" t="str">
        <f t="shared" ref="T33:T34" si="45">IFERROR(GOOGLEMAPS_DISTANCE("2116 4th Ave, Seattle, WA, 98121", F33, "driving")+0,"Not Driveable")</f>
        <v>Not Driveable</v>
      </c>
      <c r="U33" s="12" t="str">
        <f t="shared" ref="U33:U34" si="46">iferror(GOOGLEMAPS_DURATION("2116 4th Ave, Seattle, WA, 98121", F33, "driving")+0,"Not Driveable")</f>
        <v>Not Driveable</v>
      </c>
      <c r="V33" s="13">
        <f t="shared" ref="V33:V34" si="47">GOOGLEMAPS_DISTANCE("2116 4th Ave, Seattle, WA, 98121", F33, "flying")+0</f>
        <v>8906.784148</v>
      </c>
      <c r="W33" s="4"/>
      <c r="X33" s="4" t="str">
        <f t="shared" si="5"/>
        <v>N/A</v>
      </c>
      <c r="Y33" s="4"/>
      <c r="Z33" s="4" t="s">
        <v>38</v>
      </c>
    </row>
    <row r="34">
      <c r="A34" s="3" t="s">
        <v>32</v>
      </c>
      <c r="B34" s="4" t="s">
        <v>171</v>
      </c>
      <c r="C34" s="4" t="s">
        <v>172</v>
      </c>
      <c r="D34" s="4" t="s">
        <v>173</v>
      </c>
      <c r="E34" s="3" t="s">
        <v>174</v>
      </c>
      <c r="F34" s="30" t="s">
        <v>175</v>
      </c>
      <c r="G34" s="6" t="str">
        <f t="shared" si="1"/>
        <v>Link</v>
      </c>
      <c r="H34" s="5"/>
      <c r="I34" s="7" t="str">
        <f t="shared" si="2"/>
        <v>{"address_components":[{"long_name":"5M39+994","short_name":"5M39+994","types":["plus_code"]},{"long_name":"McMurdo Station","short_name":"McMurdo Station","types":["locality","political"]},{"long_name":"Antarctica","short_name":"AQ","types":["country","political"]},{"long_name":"5M39+994","short_name":"5M39+994","types":["plus_code"]},{"short_name":"McMurdo Station","types":["locality","political"],"long_name":"McMurdo Station"},{"long_name":"Antarctica","short_name":"AQ","types":["country","political"]},{"types":["latitude"],"long_name":-77.84655040000001,"short_name":-77.84655040000001},{"types":["longitude"],"long_name":166.6683954,"short_name":166.6683954}],"distance_from":{"mi":{"driving":{"2116 4th Ave, Seattle, WA, 98121":"GOOGLE_MAPS_ERROR_CACHED - No route found!"},"flying":{"2116 4th Ave, Seattle, WA, 98121":9156.237339530491}}},"duration_from":{"days":{"driving":{"2116 4th Ave, Seattle, WA, 98121":"GOOGLE_MAPS_ERROR_CACHED - No route found!"}}}}</v>
      </c>
      <c r="J34" s="8" t="str">
        <f t="shared" si="3"/>
        <v>[{"long_name":"5M39+994","short_name":"5M39+994","types":["plus_code"]},{"long_name":"McMurdo Station","short_name":"McMurdo Station","types":["locality","political"]},{"long_name":"Antarctica","short_name":"AQ","types":["country","political"]},{"long_name":"5M39+994","short_name":"5M39+994","types":["plus_code"]},{"short_name":"McMurdo Station","types":["locality","political"],"long_name":"McMurdo Station"},{"long_name":"Antarctica","short_name":"AQ","types":["country","political"]},{"types":["latitude"],"long_name":-77.84655040000001,"short_name":-77.84655040000001},{"types":["longitude"],"long_name":166.6683954,"short_name":166.6683954},{"types":["debug_info","cache_load_result"],"long_name":"hit","short_name":"hit"}]</v>
      </c>
      <c r="K34" s="9" t="b">
        <f t="shared" si="38"/>
        <v>1</v>
      </c>
      <c r="L34" s="8" t="b">
        <f t="shared" si="4"/>
        <v>0</v>
      </c>
      <c r="M34" s="10" t="b">
        <v>1</v>
      </c>
      <c r="N34" s="8">
        <f t="shared" si="39"/>
        <v>-77.8465504</v>
      </c>
      <c r="O34" s="8">
        <f t="shared" si="40"/>
        <v>166.6683954</v>
      </c>
      <c r="P34" s="8" t="str">
        <f t="shared" si="41"/>
        <v>McMurdo Station</v>
      </c>
      <c r="Q34" s="8" t="str">
        <f t="shared" si="42"/>
        <v>UNDEFINED</v>
      </c>
      <c r="R34" s="8" t="str">
        <f t="shared" si="43"/>
        <v>UNDEFINED</v>
      </c>
      <c r="S34" s="8" t="str">
        <f t="shared" si="44"/>
        <v>Antarctica</v>
      </c>
      <c r="T34" s="11" t="str">
        <f t="shared" si="45"/>
        <v>Not Driveable</v>
      </c>
      <c r="U34" s="12" t="str">
        <f t="shared" si="46"/>
        <v>Not Driveable</v>
      </c>
      <c r="V34" s="13">
        <f t="shared" si="47"/>
        <v>9156.23734</v>
      </c>
      <c r="X34" s="4" t="str">
        <f t="shared" si="5"/>
        <v>N/A</v>
      </c>
      <c r="Y34" s="4"/>
      <c r="Z34" s="4" t="s">
        <v>38</v>
      </c>
      <c r="AB34" s="14" t="s">
        <v>69</v>
      </c>
    </row>
    <row r="35">
      <c r="A35" s="3" t="s">
        <v>32</v>
      </c>
      <c r="B35" s="4" t="s">
        <v>176</v>
      </c>
      <c r="C35" s="4"/>
      <c r="D35" s="4"/>
      <c r="E35" s="3" t="s">
        <v>159</v>
      </c>
      <c r="F35" s="4" t="s">
        <v>177</v>
      </c>
      <c r="G35" s="6" t="str">
        <f t="shared" si="1"/>
        <v>Link</v>
      </c>
      <c r="H35" s="3" t="s">
        <v>45</v>
      </c>
      <c r="I35" s="8" t="str">
        <f t="shared" si="2"/>
        <v>{"address_components":[{"short_name":"Kolmanskop","long_name":"Kolmanskop","types":["locality","political"]},{"long_name":"Karas Region","short_name":"Karas Region","types":["administrative_area_level_1","political"]},{"short_name":"NA","long_name":"Namibia","types":["country","political"]},{"long_name":"76VJ+QMX","short_name":"76VJ+QMX","types":["plus_code"]},{"short_name":"Kolmanskop","long_name":"Kolmanskop","types":["locality","political"]},{"long_name":"Karas Region","short_name":"Karas Region","types":["administrative_area_level_1","political"]},{"types":["country","political"],"short_name":"NA","long_name":"Namibia"},{"types":["latitude"],"long_name":-26.7049924,"short_name":-26.7049924},{"types":["longitude"],"long_name":15.2326454,"short_name":15.2326454}]}</v>
      </c>
      <c r="J35" s="8" t="str">
        <f t="shared" si="3"/>
        <v>[{"short_name":"Kolmanskop","long_name":"Kolmanskop","types":["locality","political"]},{"long_name":"Karas Region","short_name":"Karas Region","types":["administrative_area_level_1","political"]},{"short_name":"NA","long_name":"Namibia","types":["country","political"]},{"long_name":"76VJ+QMX","short_name":"76VJ+QMX","types":["plus_code"]},{"short_name":"Kolmanskop","long_name":"Kolmanskop","types":["locality","political"]},{"long_name":"Karas Region","short_name":"Karas Region","types":["administrative_area_level_1","political"]},{"types":["country","political"],"short_name":"NA","long_name":"Namibia"},{"types":["latitude"],"long_name":-26.7049924,"short_name":-26.7049924},{"types":["longitude"],"long_name":15.2326454,"short_name":15.2326454},{"types":["debug_info","cache_load_result"],"long_name":"hit","short_name":"hit"}]</v>
      </c>
      <c r="K35" s="9" t="b">
        <f>NOT(AND(NOT(_xlfn.ISFORMULA(P35)),AND(NOT(_xlfn.ISFORMULA(Q35)),AND(NOT(_xlfn.ISFORMULA(R35)),AND(NOT(_xlfn.ISFORMULA(S35)),AND(NOT(_xlfn.ISFORMULA(T35)),AND(NOT(_xlfn.ISFORMULA(U35)),AND(NOT(_xlfn.ISFORMULA(V35)),AND(NOT(_xlfn.ISFORMULA(N35)),NOT(_xlfn.ISFORMULA(O35)))))))))))</f>
        <v>0</v>
      </c>
      <c r="L35" s="8" t="b">
        <f t="shared" si="4"/>
        <v>1</v>
      </c>
      <c r="M35" s="10" t="b">
        <v>1</v>
      </c>
      <c r="N35" s="10">
        <v>-26.7049924</v>
      </c>
      <c r="O35" s="10">
        <v>15.2326454</v>
      </c>
      <c r="P35" s="10" t="s">
        <v>176</v>
      </c>
      <c r="Q35" s="10" t="s">
        <v>178</v>
      </c>
      <c r="R35" s="10" t="s">
        <v>55</v>
      </c>
      <c r="S35" s="10" t="s">
        <v>179</v>
      </c>
      <c r="T35" s="19" t="s">
        <v>56</v>
      </c>
      <c r="U35" s="20" t="s">
        <v>56</v>
      </c>
      <c r="V35" s="18">
        <v>9737.87</v>
      </c>
      <c r="W35" s="31"/>
      <c r="X35" s="4" t="str">
        <f t="shared" si="5"/>
        <v>N/A</v>
      </c>
      <c r="Y35" s="31"/>
      <c r="Z35" s="31">
        <v>44378.0</v>
      </c>
      <c r="AC35" s="14" t="s">
        <v>102</v>
      </c>
      <c r="AD35" s="4"/>
    </row>
    <row r="36">
      <c r="A36" s="3" t="s">
        <v>180</v>
      </c>
      <c r="B36" s="4" t="s">
        <v>181</v>
      </c>
      <c r="C36" s="4"/>
      <c r="D36" s="4"/>
      <c r="E36" s="5"/>
      <c r="F36" s="4" t="s">
        <v>182</v>
      </c>
      <c r="G36" s="6" t="str">
        <f t="shared" si="1"/>
        <v>Link</v>
      </c>
      <c r="H36" s="3" t="s">
        <v>37</v>
      </c>
      <c r="I36" s="8" t="str">
        <f t="shared" si="2"/>
        <v>{"distance_from":{"mi":{"flying":{"2116 4th Ave, Seattle, WA, 98121":584.2469583804541},"driving":{"2116 4th Ave, Seattle, WA, 98121":759.5405569985212}}},"address_components":[{"long_name":"Mammoth","types":["neighborhood","political"],"short_name":"Mammoth"},{"types":["locality","political"],"short_name":"Mammoth","long_name":"Mammoth"},{"long_name":"Park County","types":["administrative_area_level_2","political"],"short_name":"Park County"},{"long_name":"Wyoming","short_name":"WY","types":["administrative_area_level_1","political"]},{"long_name":"United States","types":["country","political"],"short_name":"US"},{"long_name":"82190","short_name":"82190","types":["postal_code"]},{"short_name":"Yellowstone National Park","types":["establishment","point_of_interest"],"long_name":"Yellowstone National Park"},{"short_name":"114","types":["street_number"],"long_name":"114"},{"long_name":"Grand Loop Road","types":["route"],"short_name":"Grand Loop Rd"},{"types":["neighborhood","political"],"short_name":"Mammoth","long_name":"Mammoth"},{"long_name":"Mammoth","types":["locality","political"],"short_name":"Mammoth"},{"long_name":"Park County","short_name":"Park County","types":["administrative_area_level_2","political"]},{"long_name":"Wyoming","types":["administrative_area_level_1","political"],"short_name":"WY"},{"long_name":"United States","types":["country","political"],"short_name":"US"},{"short_name":"82190","types":["postal_code"],"long_name":"82190"},{"types":["latitude"],"long_name":44.9768789,"short_name":44.9768789},{"types":["longitude"],"long_name":-110.6991303,"short_name":-110.6991303}],"duration_from":{"days":{"driving":{"2116 4th Ave, Seattle, WA, 98121":0.4870601851851852}}}}</v>
      </c>
      <c r="J36" s="8" t="str">
        <f t="shared" si="3"/>
        <v>[{"long_name":"Mammoth","types":["neighborhood","political"],"short_name":"Mammoth"},{"types":["locality","political"],"short_name":"Mammoth","long_name":"Mammoth"},{"long_name":"Park County","types":["administrative_area_level_2","political"],"short_name":"Park County"},{"long_name":"Wyoming","short_name":"WY","types":["administrative_area_level_1","political"]},{"long_name":"United States","types":["country","political"],"short_name":"US"},{"long_name":"82190","short_name":"82190","types":["postal_code"]},{"short_name":"Yellowstone National Park","types":["establishment","point_of_interest"],"long_name":"Yellowstone National Park"},{"short_name":"114","types":["street_number"],"long_name":"114"},{"long_name":"Grand Loop Road","types":["route"],"short_name":"Grand Loop Rd"},{"types":["neighborhood","political"],"short_name":"Mammoth","long_name":"Mammoth"},{"long_name":"Mammoth","types":["locality","political"],"short_name":"Mammoth"},{"long_name":"Park County","short_name":"Park County","types":["administrative_area_level_2","political"]},{"long_name":"Wyoming","types":["administrative_area_level_1","political"],"short_name":"WY"},{"long_name":"United States","types":["country","political"],"short_name":"US"},{"short_name":"82190","types":["postal_code"],"long_name":"82190"},{"types":["latitude"],"long_name":44.9768789,"short_name":44.9768789},{"types":["longitude"],"long_name":-110.6991303,"short_name":-110.6991303},{"types":["debug_info","cache_load_result"],"long_name":"hit","short_name":"hit"}]</v>
      </c>
      <c r="K36" s="9" t="b">
        <f t="shared" ref="K36:K37" si="48">NOT(AND(NOT(_xlfn.ISFORMULA(P36)),AND(NOT(_xlfn.ISFORMULA(Q36)),AND(NOT(_xlfn.ISFORMULA(R36)),AND(NOT(_xlfn.ISFORMULA(S36)),AND(NOT(_xlfn.ISFORMULA(T36)),AND(NOT(_xlfn.ISFORMULA(U36)),AND(NOT(_xlfn.ISFORMULA(V36))))))))))</f>
        <v>1</v>
      </c>
      <c r="L36" s="8" t="b">
        <f t="shared" si="4"/>
        <v>1</v>
      </c>
      <c r="M36" s="10" t="b">
        <v>1</v>
      </c>
      <c r="N36" s="8">
        <f t="shared" ref="N36:N37" si="49">GOOGLEMAPS_GET_ADDRESS_LATITUDE(F36,true)</f>
        <v>44.9768789</v>
      </c>
      <c r="O36" s="8">
        <f t="shared" ref="O36:O37" si="50">GOOGLEMAPS_GET_ADDRESS_LONGITUDE(F36,true)</f>
        <v>-110.6991303</v>
      </c>
      <c r="P36" s="8" t="str">
        <f t="shared" ref="P36:P37" si="51">GOOGLEMAPS_GET_ADDRESS_CITY(F36,true,false)</f>
        <v>Mammoth</v>
      </c>
      <c r="Q36" s="8" t="str">
        <f t="shared" ref="Q36:Q37" si="52">GOOGLEMAPS_GET_ADDRESS_STATE(F36,true,false)</f>
        <v>Wyoming</v>
      </c>
      <c r="R36" s="8" t="str">
        <f t="shared" ref="R36:R37" si="53">GOOGLEMAPS_GET_ADDRESS_POSTAL_CODE(F36,false,false)</f>
        <v>82190</v>
      </c>
      <c r="S36" s="8" t="str">
        <f t="shared" ref="S36:S37" si="54">GOOGLEMAPS_GET_ADDRESS_COUNTRY(F36,true,false)</f>
        <v>United States</v>
      </c>
      <c r="T36" s="11">
        <f t="shared" ref="T36:T37" si="55">IFERROR(GOOGLEMAPS_DISTANCE("2116 4th Ave, Seattle, WA, 98121", F36, "driving")+0,"Not Driveable")</f>
        <v>759.540557</v>
      </c>
      <c r="U36" s="12">
        <f t="shared" ref="U36:U37" si="56">iferror(GOOGLEMAPS_DURATION("2116 4th Ave, Seattle, WA, 98121", F36, "driving")+0,"Not Driveable")</f>
        <v>0.4870601852</v>
      </c>
      <c r="V36" s="13">
        <f t="shared" ref="V36:V37" si="57">GOOGLEMAPS_DISTANCE("2116 4th Ave, Seattle, WA, 98121", F36, "flying")+0</f>
        <v>584.2469584</v>
      </c>
      <c r="W36" s="4"/>
      <c r="X36" s="4" t="str">
        <f t="shared" si="5"/>
        <v>N/A</v>
      </c>
      <c r="Y36" s="4"/>
      <c r="Z36" s="4" t="s">
        <v>38</v>
      </c>
    </row>
    <row r="37">
      <c r="A37" s="3" t="s">
        <v>180</v>
      </c>
      <c r="B37" s="4" t="s">
        <v>183</v>
      </c>
      <c r="C37" s="4" t="s">
        <v>184</v>
      </c>
      <c r="D37" s="4"/>
      <c r="E37" s="5"/>
      <c r="F37" s="4" t="s">
        <v>185</v>
      </c>
      <c r="G37" s="6" t="str">
        <f t="shared" si="1"/>
        <v>Link</v>
      </c>
      <c r="H37" s="3" t="s">
        <v>120</v>
      </c>
      <c r="I37" s="8" t="str">
        <f t="shared" si="2"/>
        <v>{"address_components":[{"long_name":"1580","short_name":"1580","types":["street_number"]},{"long_name":"West Duval Mine Road","types":["route"],"short_name":"W Duval Mine Rd"},{"types":["locality","political"],"long_name":"Green Valley","short_name":"Green Valley"},{"types":["administrative_area_level_2","political"],"long_name":"Pima County","short_name":"Pima County"},{"long_name":"Arizona","types":["administrative_area_level_1","political"],"short_name":"AZ"},{"short_name":"US","long_name":"United States","types":["country","political"]},{"short_name":"85614","long_name":"85614","types":["postal_code"]},{"short_name":"4907","long_name":"4907","types":["postal_code_suffix"]},{"long_name":"1580","types":["street_number"],"short_name":"1580"},{"short_name":"W Duval Mine Rd","long_name":"West Duval Mine Road","types":["route"]},{"long_name":"Green Valley","types":["locality","political"],"short_name":"Green Valley"},{"long_name":"Pima County","types":["administrative_area_level_2","political"],"short_name":"Pima County"},{"long_name":"Arizona","short_name":"AZ","types":["administrative_area_level_1","political"]},{"long_name":"United States","types":["country","political"],"short_name":"US"},{"short_name":"85614","long_name":"85614","types":["postal_code"]},{"long_name":"4907","types":["postal_code_suffix"],"short_name":"4907"},{"types":["latitude"],"long_name":31.9027417,"short_name":31.9027417},{"types":["longitude"],"long_name":-110.9992833,"short_name":-110.9992833}],"distance_from":{"mi":{"driving":{"2116 4th Ave, Seattle, WA, 98121":1563.9404973467385},"flying":{"2116 4th Ave, Seattle, WA, 98121":1238.512682217555}}},"duration_from":{"days":{"driving":{"2116 4th Ave, Seattle, WA, 98121":0.9850694444444444}}}}</v>
      </c>
      <c r="J37" s="8" t="str">
        <f t="shared" si="3"/>
        <v>[{"long_name":"1580","short_name":"1580","types":["street_number"]},{"long_name":"West Duval Mine Road","types":["route"],"short_name":"W Duval Mine Rd"},{"types":["locality","political"],"long_name":"Green Valley","short_name":"Green Valley"},{"types":["administrative_area_level_2","political"],"long_name":"Pima County","short_name":"Pima County"},{"long_name":"Arizona","types":["administrative_area_level_1","political"],"short_name":"AZ"},{"short_name":"US","long_name":"United States","types":["country","political"]},{"short_name":"85614","long_name":"85614","types":["postal_code"]},{"short_name":"4907","long_name":"4907","types":["postal_code_suffix"]},{"long_name":"1580","types":["street_number"],"short_name":"1580"},{"short_name":"W Duval Mine Rd","long_name":"West Duval Mine Road","types":["route"]},{"long_name":"Green Valley","types":["locality","political"],"short_name":"Green Valley"},{"long_name":"Pima County","types":["administrative_area_level_2","political"],"short_name":"Pima County"},{"long_name":"Arizona","short_name":"AZ","types":["administrative_area_level_1","political"]},{"long_name":"United States","types":["country","political"],"short_name":"US"},{"short_name":"85614","long_name":"85614","types":["postal_code"]},{"long_name":"4907","types":["postal_code_suffix"],"short_name":"4907"},{"types":["latitude"],"long_name":31.9027417,"short_name":31.9027417},{"types":["longitude"],"long_name":-110.9992833,"short_name":-110.9992833},{"types":["debug_info","cache_load_result"],"long_name":"hit","short_name":"hit"}]</v>
      </c>
      <c r="K37" s="9" t="b">
        <f t="shared" si="48"/>
        <v>1</v>
      </c>
      <c r="L37" s="8" t="b">
        <f t="shared" si="4"/>
        <v>0</v>
      </c>
      <c r="M37" s="10" t="b">
        <v>1</v>
      </c>
      <c r="N37" s="8">
        <f t="shared" si="49"/>
        <v>31.9027417</v>
      </c>
      <c r="O37" s="8">
        <f t="shared" si="50"/>
        <v>-110.9992833</v>
      </c>
      <c r="P37" s="8" t="str">
        <f t="shared" si="51"/>
        <v>Green Valley</v>
      </c>
      <c r="Q37" s="8" t="str">
        <f t="shared" si="52"/>
        <v>Arizona</v>
      </c>
      <c r="R37" s="8" t="str">
        <f t="shared" si="53"/>
        <v>85614</v>
      </c>
      <c r="S37" s="8" t="str">
        <f t="shared" si="54"/>
        <v>United States</v>
      </c>
      <c r="T37" s="11">
        <f t="shared" si="55"/>
        <v>1563.940497</v>
      </c>
      <c r="U37" s="12">
        <f t="shared" si="56"/>
        <v>0.9850694444</v>
      </c>
      <c r="V37" s="13">
        <f t="shared" si="57"/>
        <v>1238.512682</v>
      </c>
      <c r="X37" s="4" t="str">
        <f t="shared" si="5"/>
        <v>N/A</v>
      </c>
      <c r="Z37" s="4" t="s">
        <v>38</v>
      </c>
    </row>
    <row r="38" hidden="1">
      <c r="A38" s="3" t="s">
        <v>180</v>
      </c>
      <c r="B38" s="4" t="s">
        <v>186</v>
      </c>
      <c r="E38" s="3" t="s">
        <v>43</v>
      </c>
      <c r="F38" s="4" t="s">
        <v>186</v>
      </c>
      <c r="G38" s="6" t="str">
        <f t="shared" si="1"/>
        <v>Link</v>
      </c>
      <c r="H38" s="3" t="s">
        <v>187</v>
      </c>
      <c r="I38" s="8" t="str">
        <f t="shared" si="2"/>
        <v>{"address_components":[{"short_name":"Sitka","types":["locality","political"],"long_name":"Sitka"},{"types":["administrative_area_level_2","political"],"short_name":"Sitka City and Borough","long_name":"Sitka City and Borough"},{"long_name":"Alaska","types":["administrative_area_level_1","political"],"short_name":"AK"},{"short_name":"US","long_name":"United States","types":["country","political"]},{"long_name":"402","types":["street_number"],"short_name":"402"},{"types":["route"],"short_name":"Sawmill Creek Rd","long_name":"Sawmill Creek Road"},{"long_name":"Sitka","types":["locality","political"],"short_name":"Sitka"},{"long_name":"Sitka City and Borough","types":["administrative_area_level_2","political"],"short_name":"Sitka City and Borough"},{"short_name":"AK","long_name":"Alaska","types":["administrative_area_level_1","political"]},{"types":["country","political"],"short_name":"US","long_name":"United States"},{"short_name":"99835","long_name":"99835","types":["postal_code"]},{"types":["latitude"],"long_name":57.05321929999999,"short_name":57.05321929999999},{"types":["longitude"],"long_name":-135.3345513,"short_name":-135.3345513}]}</v>
      </c>
      <c r="J38" s="8" t="str">
        <f t="shared" si="3"/>
        <v>[{"short_name":"Sitka","types":["locality","political"],"long_name":"Sitka"},{"types":["administrative_area_level_2","political"],"short_name":"Sitka City and Borough","long_name":"Sitka City and Borough"},{"long_name":"Alaska","types":["administrative_area_level_1","political"],"short_name":"AK"},{"short_name":"US","long_name":"United States","types":["country","political"]},{"long_name":"402","types":["street_number"],"short_name":"402"},{"types":["route"],"short_name":"Sawmill Creek Rd","long_name":"Sawmill Creek Road"},{"long_name":"Sitka","types":["locality","political"],"short_name":"Sitka"},{"long_name":"Sitka City and Borough","types":["administrative_area_level_2","political"],"short_name":"Sitka City and Borough"},{"short_name":"AK","long_name":"Alaska","types":["administrative_area_level_1","political"]},{"types":["country","political"],"short_name":"US","long_name":"United States"},{"short_name":"99835","long_name":"99835","types":["postal_code"]},{"types":["latitude"],"long_name":57.05321929999999,"short_name":57.05321929999999},{"types":["longitude"],"long_name":-135.3345513,"short_name":-135.3345513},{"types":["debug_info","cache_load_result"],"long_name":"hit","short_name":"hit"}]</v>
      </c>
      <c r="K38" s="9" t="b">
        <f t="shared" ref="K38:K40" si="58">NOT(AND(NOT(_xlfn.ISFORMULA(P38)),AND(NOT(_xlfn.ISFORMULA(Q38)),AND(NOT(_xlfn.ISFORMULA(R38)),AND(NOT(_xlfn.ISFORMULA(S38)),AND(NOT(_xlfn.ISFORMULA(T38)),AND(NOT(_xlfn.ISFORMULA(U38)),AND(NOT(_xlfn.ISFORMULA(V38)),AND(NOT(_xlfn.ISFORMULA(N38)),NOT(_xlfn.ISFORMULA(O38)))))))))))</f>
        <v>0</v>
      </c>
      <c r="L38" s="8" t="b">
        <f t="shared" si="4"/>
        <v>1</v>
      </c>
      <c r="M38" s="10" t="b">
        <v>1</v>
      </c>
      <c r="N38" s="10">
        <v>57.0532193</v>
      </c>
      <c r="O38" s="10">
        <v>-135.3345513</v>
      </c>
      <c r="P38" s="10" t="s">
        <v>188</v>
      </c>
      <c r="Q38" s="10" t="s">
        <v>137</v>
      </c>
      <c r="R38" s="10">
        <v>99835.0</v>
      </c>
      <c r="S38" s="10" t="s">
        <v>47</v>
      </c>
      <c r="T38" s="19" t="s">
        <v>56</v>
      </c>
      <c r="U38" s="20" t="s">
        <v>56</v>
      </c>
      <c r="V38" s="18">
        <v>849.31</v>
      </c>
      <c r="X38" s="4" t="str">
        <f t="shared" si="5"/>
        <v>N/A</v>
      </c>
      <c r="Y38" s="4"/>
      <c r="Z38" s="4" t="s">
        <v>38</v>
      </c>
    </row>
    <row r="39" hidden="1">
      <c r="A39" s="3" t="s">
        <v>180</v>
      </c>
      <c r="B39" s="4" t="s">
        <v>189</v>
      </c>
      <c r="C39" s="4"/>
      <c r="D39" s="4"/>
      <c r="E39" s="3" t="s">
        <v>43</v>
      </c>
      <c r="F39" s="4" t="s">
        <v>190</v>
      </c>
      <c r="G39" s="6" t="str">
        <f t="shared" si="1"/>
        <v>Link</v>
      </c>
      <c r="H39" s="3" t="s">
        <v>191</v>
      </c>
      <c r="I39" s="8" t="str">
        <f t="shared" si="2"/>
        <v>{"address_components":[{"long_name":"2579","short_name":"2579","types":["street_number"]},{"long_name":"West Shore Drive","types":["route"],"short_name":"W Shore Dr"},{"short_name":"Lummi Island","long_name":"Lummi Island","types":["locality","political"]},{"long_name":"Whatcom County","types":["administrative_area_level_2","political"],"short_name":"Whatcom County"},{"long_name":"Washington","types":["administrative_area_level_1","political"],"short_name":"WA"},{"short_name":"US","types":["country","political"],"long_name":"United States"},{"long_name":"98262","types":["postal_code"],"short_name":"98262"},{"long_name":"8667","types":["postal_code_suffix"],"short_name":"8667"},{"short_name":"2579","long_name":"2579","types":["street_number"]},{"short_name":"W Shore Dr","long_name":"West Shore Drive","types":["route"]},{"short_name":"Lummi Island","types":["locality","political"],"long_name":"Lummi Island"},{"short_name":"Whatcom County","types":["administrative_area_level_2","political"],"long_name":"Whatcom County"},{"long_name":"Washington","short_name":"WA","types":["administrative_area_level_1","political"]},{"short_name":"US","long_name":"United States","types":["country","political"]},{"short_name":"98262","long_name":"98262","types":["postal_code"]},{"long_name":"8667","types":["postal_code_suffix"],"short_name":"8667"},{"types":["latitude"],"long_name":48.7354072,"short_name":48.7354072},{"types":["longitude"],"long_name":-122.7188042,"short_name":-122.7188042}]}</v>
      </c>
      <c r="J39" s="8" t="str">
        <f t="shared" si="3"/>
        <v>[{"long_name":"2579","short_name":"2579","types":["street_number"]},{"long_name":"West Shore Drive","types":["route"],"short_name":"W Shore Dr"},{"short_name":"Lummi Island","long_name":"Lummi Island","types":["locality","political"]},{"long_name":"Whatcom County","types":["administrative_area_level_2","political"],"short_name":"Whatcom County"},{"long_name":"Washington","types":["administrative_area_level_1","political"],"short_name":"WA"},{"short_name":"US","types":["country","political"],"long_name":"United States"},{"long_name":"98262","types":["postal_code"],"short_name":"98262"},{"long_name":"8667","types":["postal_code_suffix"],"short_name":"8667"},{"short_name":"2579","long_name":"2579","types":["street_number"]},{"short_name":"W Shore Dr","long_name":"West Shore Drive","types":["route"]},{"short_name":"Lummi Island","types":["locality","political"],"long_name":"Lummi Island"},{"short_name":"Whatcom County","types":["administrative_area_level_2","political"],"long_name":"Whatcom County"},{"long_name":"Washington","short_name":"WA","types":["administrative_area_level_1","political"]},{"short_name":"US","long_name":"United States","types":["country","political"]},{"short_name":"98262","long_name":"98262","types":["postal_code"]},{"long_name":"8667","types":["postal_code_suffix"],"short_name":"8667"},{"types":["latitude"],"long_name":48.7354072,"short_name":48.7354072},{"types":["longitude"],"long_name":-122.7188042,"short_name":-122.7188042},{"types":["debug_info","cache_load_result"],"long_name":"hit","short_name":"hit"}]</v>
      </c>
      <c r="K39" s="9" t="b">
        <f t="shared" si="58"/>
        <v>0</v>
      </c>
      <c r="L39" s="8" t="b">
        <f t="shared" si="4"/>
        <v>1</v>
      </c>
      <c r="M39" s="10" t="b">
        <v>1</v>
      </c>
      <c r="N39" s="10">
        <v>48.7354203</v>
      </c>
      <c r="O39" s="10">
        <v>-122.7187857</v>
      </c>
      <c r="P39" s="10" t="s">
        <v>192</v>
      </c>
      <c r="Q39" s="10" t="s">
        <v>193</v>
      </c>
      <c r="R39" s="10">
        <v>98262.0</v>
      </c>
      <c r="S39" s="10" t="s">
        <v>47</v>
      </c>
      <c r="T39" s="19">
        <v>109.9</v>
      </c>
      <c r="U39" s="32">
        <v>0.10614583333333333</v>
      </c>
      <c r="V39" s="18">
        <v>79.39</v>
      </c>
      <c r="W39" s="4"/>
      <c r="X39" s="4" t="str">
        <f t="shared" si="5"/>
        <v>N/A</v>
      </c>
      <c r="Y39" s="4"/>
      <c r="Z39" s="4" t="s">
        <v>38</v>
      </c>
    </row>
    <row r="40" hidden="1">
      <c r="A40" s="3" t="s">
        <v>180</v>
      </c>
      <c r="B40" s="33" t="s">
        <v>194</v>
      </c>
      <c r="C40" s="33"/>
      <c r="D40" s="33"/>
      <c r="E40" s="3" t="s">
        <v>43</v>
      </c>
      <c r="F40" s="33" t="s">
        <v>195</v>
      </c>
      <c r="G40" s="6" t="str">
        <f t="shared" si="1"/>
        <v>Link</v>
      </c>
      <c r="H40" s="3" t="s">
        <v>92</v>
      </c>
      <c r="I40" s="8" t="str">
        <f t="shared" si="2"/>
        <v>{"address_components":[{"long_name":"4048","types":["street_number"],"short_name":"4048"},{"long_name":"Sonoma Highway","short_name":"Sonoma Hwy","types":["route"]},{"long_name":"Napa","short_name":"Napa","types":["locality","political"]},{"long_name":"Napa County","short_name":"Napa County","types":["administrative_area_level_2","political"]},{"short_name":"CA","long_name":"California","types":["administrative_area_level_1","political"]},{"long_name":"United States","types":["country","political"],"short_name":"US"},{"long_name":"94559","types":["postal_code"],"short_name":"94559"},{"long_name":"9749","types":["postal_code_suffix"],"short_name":"9749"},{"types":["street_number"],"long_name":"4048","short_name":"4048"},{"long_name":"Sonoma Highway","short_name":"Sonoma Hwy","types":["route"]},{"long_name":"Napa","types":["locality","political"],"short_name":"Napa"},{"long_name":"Napa County","short_name":"Napa County","types":["administrative_area_level_2","political"]},{"long_name":"California","short_name":"CA","types":["administrative_area_level_1","political"]},{"short_name":"US","types":["country","political"],"long_name":"United States"},{"types":["postal_code"],"long_name":"94559","short_name":"94559"},{"long_name":"9745","short_name":"9745","types":["postal_code_suffix"]},{"types":["latitude"],"long_name":38.2561393,"short_name":38.2561393},{"types":["longitude"],"long_name":-122.3341343,"short_name":-122.3341343}]}</v>
      </c>
      <c r="J40" s="8" t="str">
        <f t="shared" si="3"/>
        <v>[{"long_name":"4048","types":["street_number"],"short_name":"4048"},{"long_name":"Sonoma Highway","short_name":"Sonoma Hwy","types":["route"]},{"long_name":"Napa","short_name":"Napa","types":["locality","political"]},{"long_name":"Napa County","short_name":"Napa County","types":["administrative_area_level_2","political"]},{"short_name":"CA","long_name":"California","types":["administrative_area_level_1","political"]},{"long_name":"United States","types":["country","political"],"short_name":"US"},{"long_name":"94559","types":["postal_code"],"short_name":"94559"},{"long_name":"9749","types":["postal_code_suffix"],"short_name":"9749"},{"types":["street_number"],"long_name":"4048","short_name":"4048"},{"long_name":"Sonoma Highway","short_name":"Sonoma Hwy","types":["route"]},{"long_name":"Napa","types":["locality","political"],"short_name":"Napa"},{"long_name":"Napa County","short_name":"Napa County","types":["administrative_area_level_2","political"]},{"long_name":"California","short_name":"CA","types":["administrative_area_level_1","political"]},{"short_name":"US","types":["country","political"],"long_name":"United States"},{"types":["postal_code"],"long_name":"94559","short_name":"94559"},{"long_name":"9745","short_name":"9745","types":["postal_code_suffix"]},{"types":["latitude"],"long_name":38.2561393,"short_name":38.2561393},{"types":["longitude"],"long_name":-122.3341343,"short_name":-122.3341343},{"types":["debug_info","cache_load_result"],"long_name":"hit","short_name":"hit"}]</v>
      </c>
      <c r="K40" s="9" t="b">
        <f t="shared" si="58"/>
        <v>0</v>
      </c>
      <c r="L40" s="8" t="b">
        <f t="shared" si="4"/>
        <v>1</v>
      </c>
      <c r="M40" s="10" t="b">
        <v>1</v>
      </c>
      <c r="N40" s="10">
        <v>38.255411</v>
      </c>
      <c r="O40" s="10">
        <v>-122.3324738</v>
      </c>
      <c r="P40" s="10" t="s">
        <v>196</v>
      </c>
      <c r="Q40" s="10" t="s">
        <v>197</v>
      </c>
      <c r="R40" s="10">
        <v>94559.0</v>
      </c>
      <c r="S40" s="10" t="s">
        <v>47</v>
      </c>
      <c r="T40" s="19">
        <v>779.8</v>
      </c>
      <c r="U40" s="32">
        <v>0.5281828703703704</v>
      </c>
      <c r="V40" s="18">
        <v>646.64</v>
      </c>
      <c r="W40" s="4"/>
      <c r="X40" s="4" t="str">
        <f t="shared" si="5"/>
        <v>N/A</v>
      </c>
      <c r="Y40" s="4"/>
      <c r="Z40" s="4" t="s">
        <v>38</v>
      </c>
    </row>
    <row r="41">
      <c r="A41" s="3" t="s">
        <v>180</v>
      </c>
      <c r="B41" s="4" t="s">
        <v>198</v>
      </c>
      <c r="C41" s="4" t="s">
        <v>199</v>
      </c>
      <c r="D41" s="4" t="s">
        <v>200</v>
      </c>
      <c r="E41" s="5"/>
      <c r="F41" s="4" t="s">
        <v>201</v>
      </c>
      <c r="G41" s="6" t="str">
        <f t="shared" si="1"/>
        <v>Link</v>
      </c>
      <c r="H41" s="3" t="s">
        <v>45</v>
      </c>
      <c r="I41" s="8" t="str">
        <f t="shared" si="2"/>
        <v>{"address_components":[{"long_name":"Kennicott","short_name":"Kennicott","types":["colloquial_area","political"]},{"short_name":"McCarthy","types":["locality","political"],"long_name":"McCarthy"},{"long_name":"Copper River Census Area","types":["administrative_area_level_2","political"],"short_name":"Copper River Census Area"},{"types":["administrative_area_level_1","political"],"long_name":"Alaska","short_name":"AK"},{"short_name":"US","long_name":"United States","types":["country","political"]},{"short_name":"99566","types":["postal_code"],"long_name":"99566"},{"long_name":"F4P7+HC","short_name":"F4P7+HC","types":["plus_code"]},{"short_name":"McCarthy","long_name":"McCarthy","types":["locality","political"]},{"short_name":"Copper River Census Area","types":["administrative_area_level_2","political"],"long_name":"Copper River Census Area"},{"types":["administrative_area_level_1","political"],"long_name":"Alaska","short_name":"AK"},{"types":["country","political"],"long_name":"United States","short_name":"US"},{"short_name":"99566","types":["postal_code"],"long_name":"99566"},{"types":["latitude"],"long_name":61.48638889999999,"short_name":61.48638889999999},{"types":["longitude"],"long_name":-142.8863888,"short_name":-142.8863888}],"duration_from":{"days":{"driving":{"2116 4th Ave, Seattle, WA, 98121":1.7155439814814815}}},"distance_from":{"mi":{"driving":{"2116 4th Ave, Seattle, WA, 98121":2217.486050182062},"flying":{"2116 4th Ave, Seattle, WA, 98121":1252.4848695738626}}}}</v>
      </c>
      <c r="J41" s="8" t="str">
        <f t="shared" si="3"/>
        <v>[{"long_name":"Kennicott","short_name":"Kennicott","types":["colloquial_area","political"]},{"short_name":"McCarthy","types":["locality","political"],"long_name":"McCarthy"},{"long_name":"Copper River Census Area","types":["administrative_area_level_2","political"],"short_name":"Copper River Census Area"},{"types":["administrative_area_level_1","political"],"long_name":"Alaska","short_name":"AK"},{"short_name":"US","long_name":"United States","types":["country","political"]},{"short_name":"99566","types":["postal_code"],"long_name":"99566"},{"long_name":"F4P7+HC","short_name":"F4P7+HC","types":["plus_code"]},{"short_name":"McCarthy","long_name":"McCarthy","types":["locality","political"]},{"short_name":"Copper River Census Area","types":["administrative_area_level_2","political"],"long_name":"Copper River Census Area"},{"types":["administrative_area_level_1","political"],"long_name":"Alaska","short_name":"AK"},{"types":["country","political"],"long_name":"United States","short_name":"US"},{"short_name":"99566","types":["postal_code"],"long_name":"99566"},{"types":["latitude"],"long_name":61.48638889999999,"short_name":61.48638889999999},{"types":["longitude"],"long_name":-142.8863888,"short_name":-142.8863888},{"types":["debug_info","cache_load_result"],"long_name":"hit","short_name":"hit"}]</v>
      </c>
      <c r="K41" s="9" t="b">
        <f>NOT(AND(NOT(_xlfn.ISFORMULA(P41)),AND(NOT(_xlfn.ISFORMULA(Q41)),AND(NOT(_xlfn.ISFORMULA(R41)),AND(NOT(_xlfn.ISFORMULA(S41)),AND(NOT(_xlfn.ISFORMULA(T41)),AND(NOT(_xlfn.ISFORMULA(U41)),AND(NOT(_xlfn.ISFORMULA(V41))))))))))</f>
        <v>1</v>
      </c>
      <c r="L41" s="8" t="b">
        <f t="shared" si="4"/>
        <v>0</v>
      </c>
      <c r="M41" s="10" t="b">
        <v>1</v>
      </c>
      <c r="N41" s="8">
        <f t="shared" ref="N41:N44" si="59">GOOGLEMAPS_GET_ADDRESS_LATITUDE(F41,true)</f>
        <v>61.4863889</v>
      </c>
      <c r="O41" s="8">
        <f t="shared" ref="O41:O44" si="60">GOOGLEMAPS_GET_ADDRESS_LONGITUDE(F41,true)</f>
        <v>-142.8863888</v>
      </c>
      <c r="P41" s="8" t="str">
        <f t="shared" ref="P41:P44" si="61">GOOGLEMAPS_GET_ADDRESS_CITY(F41,true,false)</f>
        <v>McCarthy</v>
      </c>
      <c r="Q41" s="8" t="str">
        <f>GOOGLEMAPS_GET_ADDRESS_STATE(F41,true,false)</f>
        <v>Alaska</v>
      </c>
      <c r="R41" s="8" t="str">
        <f t="shared" ref="R41:R44" si="62">GOOGLEMAPS_GET_ADDRESS_POSTAL_CODE(F41,false,false)</f>
        <v>99566</v>
      </c>
      <c r="S41" s="8" t="str">
        <f t="shared" ref="S41:S44" si="63">GOOGLEMAPS_GET_ADDRESS_COUNTRY(F41,true,false)</f>
        <v>United States</v>
      </c>
      <c r="T41" s="11">
        <f t="shared" ref="T41:T44" si="64">IFERROR(GOOGLEMAPS_DISTANCE("2116 4th Ave, Seattle, WA, 98121", F41, "driving")+0,"Not Driveable")</f>
        <v>2217.48605</v>
      </c>
      <c r="U41" s="12">
        <f t="shared" ref="U41:U44" si="65">iferror(GOOGLEMAPS_DURATION("2116 4th Ave, Seattle, WA, 98121", F41, "driving")+0,"Not Driveable")</f>
        <v>1.715543981</v>
      </c>
      <c r="V41" s="13">
        <f t="shared" ref="V41:V44" si="66">GOOGLEMAPS_DISTANCE("2116 4th Ave, Seattle, WA, 98121", F41, "flying")+0</f>
        <v>1252.48487</v>
      </c>
      <c r="W41" s="4"/>
      <c r="X41" s="4" t="str">
        <f t="shared" si="5"/>
        <v>N/A</v>
      </c>
      <c r="Y41" s="4"/>
      <c r="Z41" s="4" t="s">
        <v>38</v>
      </c>
      <c r="AA41" s="4"/>
      <c r="AB41" s="14" t="s">
        <v>202</v>
      </c>
      <c r="AE41" s="4"/>
      <c r="AF41" s="4" t="s">
        <v>203</v>
      </c>
    </row>
    <row r="42">
      <c r="A42" s="3" t="s">
        <v>180</v>
      </c>
      <c r="B42" s="4" t="s">
        <v>204</v>
      </c>
      <c r="C42" s="4" t="s">
        <v>205</v>
      </c>
      <c r="E42" s="5"/>
      <c r="F42" s="4" t="s">
        <v>206</v>
      </c>
      <c r="G42" s="6" t="str">
        <f t="shared" si="1"/>
        <v>Link</v>
      </c>
      <c r="H42" s="3" t="s">
        <v>37</v>
      </c>
      <c r="I42" s="7" t="str">
        <f t="shared" si="2"/>
        <v>{"address_components":[{"long_name":"Churchill","types":["locality","political"],"short_name":"Churchill"},{"long_name":"Churchill","types":["administrative_area_level_2","political"],"short_name":"Churchill"},{"types":["administrative_area_level_1","political"],"short_name":"MB","long_name":"Manitoba"},{"long_name":"Canada","short_name":"CA","types":["country","political"]},{"long_name":"R0B 0E0","short_name":"R0B 0E0","types":["postal_code"]},{"types":["street_number"],"long_name":"268","short_name":"268"},{"short_name":"Kelsey Blvd","long_name":"Kelsey Boulevard","types":["route"]},{"long_name":"Churchill","types":["locality","political"],"short_name":"Churchill"},{"short_name":"Churchill","long_name":"Churchill","types":["administrative_area_level_2","political"]},{"short_name":"MB","types":["administrative_area_level_1","political"],"long_name":"Manitoba"},{"long_name":"Canada","types":["country","political"],"short_name":"CA"},{"long_name":"R0B 0E0","types":["postal_code"],"short_name":"R0B 0E0"},{"types":["latitude"],"long_name":58.7679415,"short_name":58.7679415},{"types":["longitude"],"long_name":-94.1695807,"short_name":-94.1695807}],"duration_from":{"days":{"driving":{"2116 4th Ave, Seattle, WA, 98121":"GOOGLE_MAPS_ERROR_CACHED - No route found!"}}},"distance_from":{"mi":{"driving":{"2116 4th Ave, Seattle, WA, 98121":"GOOGLE_MAPS_ERROR_CACHED - No route found!"},"flying":{"2116 4th Ave, Seattle, WA, 98121":1381.7341270334423}}}}</v>
      </c>
      <c r="J42" s="8" t="str">
        <f t="shared" si="3"/>
        <v>[{"long_name":"Churchill","types":["locality","political"],"short_name":"Churchill"},{"long_name":"Churchill","types":["administrative_area_level_2","political"],"short_name":"Churchill"},{"types":["administrative_area_level_1","political"],"short_name":"MB","long_name":"Manitoba"},{"long_name":"Canada","short_name":"CA","types":["country","political"]},{"long_name":"R0B 0E0","short_name":"R0B 0E0","types":["postal_code"]},{"types":["street_number"],"long_name":"268","short_name":"268"},{"short_name":"Kelsey Blvd","long_name":"Kelsey Boulevard","types":["route"]},{"long_name":"Churchill","types":["locality","political"],"short_name":"Churchill"},{"short_name":"Churchill","long_name":"Churchill","types":["administrative_area_level_2","political"]},{"short_name":"MB","types":["administrative_area_level_1","political"],"long_name":"Manitoba"},{"long_name":"Canada","types":["country","political"],"short_name":"CA"},{"long_name":"R0B 0E0","types":["postal_code"],"short_name":"R0B 0E0"},{"types":["latitude"],"long_name":58.7679415,"short_name":58.7679415},{"types":["longitude"],"long_name":-94.1695807,"short_name":-94.1695807},{"types":["debug_info","cache_load_result"],"long_name":"hit","short_name":"hit"}]</v>
      </c>
      <c r="K42" s="9" t="b">
        <f>NOT(AND(NOT(_xlfn.ISFORMULA(P42)),AND(NOT(_xlfn.ISFORMULA(Q42)),AND(NOT(_xlfn.ISFORMULA(R42)),AND(NOT(_xlfn.ISFORMULA(S42)),AND(NOT(_xlfn.ISFORMULA(T42)),AND(NOT(_xlfn.ISFORMULA(U42)),AND(NOT(_xlfn.ISFORMULA(V42)),AND(NOT(_xlfn.ISFORMULA(N42)),NOT(_xlfn.ISFORMULA(O42)))))))))))</f>
        <v>1</v>
      </c>
      <c r="L42" s="8" t="b">
        <f t="shared" si="4"/>
        <v>1</v>
      </c>
      <c r="M42" s="4" t="b">
        <v>0</v>
      </c>
      <c r="N42" s="8">
        <f t="shared" si="59"/>
        <v>58.7679415</v>
      </c>
      <c r="O42" s="8">
        <f t="shared" si="60"/>
        <v>-94.1695807</v>
      </c>
      <c r="P42" s="8" t="str">
        <f t="shared" si="61"/>
        <v>Churchill</v>
      </c>
      <c r="Q42" s="8" t="str">
        <f>GOOGLEMAPS_GET_ADDRESS_CITY(G42,true,false)</f>
        <v>#ERROR!</v>
      </c>
      <c r="R42" s="8" t="str">
        <f t="shared" si="62"/>
        <v>R0B 0E0</v>
      </c>
      <c r="S42" s="8" t="str">
        <f t="shared" si="63"/>
        <v>Canada</v>
      </c>
      <c r="T42" s="11" t="str">
        <f t="shared" si="64"/>
        <v>Not Driveable</v>
      </c>
      <c r="U42" s="12" t="str">
        <f t="shared" si="65"/>
        <v>Not Driveable</v>
      </c>
      <c r="V42" s="13">
        <f t="shared" si="66"/>
        <v>1381.734127</v>
      </c>
      <c r="X42" s="4" t="str">
        <f t="shared" si="5"/>
        <v>N/A</v>
      </c>
      <c r="Y42" s="4"/>
      <c r="Z42" s="4" t="s">
        <v>38</v>
      </c>
    </row>
    <row r="43">
      <c r="A43" s="34" t="s">
        <v>180</v>
      </c>
      <c r="B43" s="4" t="s">
        <v>207</v>
      </c>
      <c r="C43" s="4"/>
      <c r="D43" s="4"/>
      <c r="E43" s="5"/>
      <c r="F43" s="4" t="s">
        <v>208</v>
      </c>
      <c r="G43" s="6" t="str">
        <f t="shared" si="1"/>
        <v>Link</v>
      </c>
      <c r="H43" s="3" t="s">
        <v>37</v>
      </c>
      <c r="I43" s="8" t="str">
        <f t="shared" si="2"/>
        <v>{"address_components":[{"short_name":"7","types":["street_number"],"long_name":"7"},{"long_name":"Terreros","types":["route"],"short_name":"Terreros"},{"short_name":"Naica","long_name":"Naica","types":["locality","political"]},{"long_name":"Chihuahua","types":["administrative_area_level_1","political"],"short_name":"Chih."},{"types":["country","political"],"long_name":"Mexico","short_name":"MX"},{"long_name":"33640","types":["postal_code"],"short_name":"33640"},{"types":["street_number"],"long_name":"7","short_name":"7"},{"short_name":"Terreros","types":["route"],"long_name":"Terreros"},{"short_name":"Naica","long_name":"Naica","types":["locality","political"]},{"long_name":"Chihuahua","types":["administrative_area_level_1","political"],"short_name":"Chih."},{"short_name":"MX","long_name":"Mexico","types":["country","political"]},{"long_name":"33640","types":["postal_code"],"short_name":"33640"},{"types":["latitude"],"long_name":27.850833,"short_name":27.850833},{"types":["longitude"],"long_name":-105.496389,"short_name":-105.496389}],"distance_from":{"mi":{"flying":{"2116 4th Ave, Seattle, WA, 98121":1638.9159531236407},"driving":{"2116 4th Ave, Seattle, WA, 98121":2014.0181689388198}}},"duration_from":{"days":{"driving":{"2116 4th Ave, Seattle, WA, 98121":1.3024074074074075}}}}</v>
      </c>
      <c r="J43" s="8" t="str">
        <f t="shared" si="3"/>
        <v>[{"short_name":"7","types":["street_number"],"long_name":"7"},{"long_name":"Terreros","types":["route"],"short_name":"Terreros"},{"short_name":"Naica","long_name":"Naica","types":["locality","political"]},{"long_name":"Chihuahua","types":["administrative_area_level_1","political"],"short_name":"Chih."},{"types":["country","political"],"long_name":"Mexico","short_name":"MX"},{"long_name":"33640","types":["postal_code"],"short_name":"33640"},{"types":["street_number"],"long_name":"7","short_name":"7"},{"short_name":"Terreros","types":["route"],"long_name":"Terreros"},{"short_name":"Naica","long_name":"Naica","types":["locality","political"]},{"long_name":"Chihuahua","types":["administrative_area_level_1","political"],"short_name":"Chih."},{"short_name":"MX","long_name":"Mexico","types":["country","political"]},{"long_name":"33640","types":["postal_code"],"short_name":"33640"},{"types":["latitude"],"long_name":27.850833,"short_name":27.850833},{"types":["longitude"],"long_name":-105.496389,"short_name":-105.496389},{"types":["debug_info","cache_load_result"],"long_name":"hit","short_name":"hit"}]</v>
      </c>
      <c r="K43" s="9" t="b">
        <f t="shared" ref="K43:K44" si="67">NOT(AND(NOT(_xlfn.ISFORMULA(P43)),AND(NOT(_xlfn.ISFORMULA(Q43)),AND(NOT(_xlfn.ISFORMULA(R43)),AND(NOT(_xlfn.ISFORMULA(S43)),AND(NOT(_xlfn.ISFORMULA(T43)),AND(NOT(_xlfn.ISFORMULA(U43)),AND(NOT(_xlfn.ISFORMULA(V43))))))))))</f>
        <v>1</v>
      </c>
      <c r="L43" s="8" t="b">
        <f t="shared" si="4"/>
        <v>0</v>
      </c>
      <c r="M43" s="10" t="b">
        <v>1</v>
      </c>
      <c r="N43" s="8">
        <f t="shared" si="59"/>
        <v>27.850833</v>
      </c>
      <c r="O43" s="8">
        <f t="shared" si="60"/>
        <v>-105.496389</v>
      </c>
      <c r="P43" s="8" t="str">
        <f t="shared" si="61"/>
        <v>Naica</v>
      </c>
      <c r="Q43" s="8" t="str">
        <f t="shared" ref="Q43:Q44" si="68">GOOGLEMAPS_GET_ADDRESS_STATE(F43,true,false)</f>
        <v>Chihuahua</v>
      </c>
      <c r="R43" s="8" t="str">
        <f t="shared" si="62"/>
        <v>33640</v>
      </c>
      <c r="S43" s="8" t="str">
        <f t="shared" si="63"/>
        <v>Mexico</v>
      </c>
      <c r="T43" s="11">
        <f t="shared" si="64"/>
        <v>2014.018169</v>
      </c>
      <c r="U43" s="12">
        <f t="shared" si="65"/>
        <v>1.302407407</v>
      </c>
      <c r="V43" s="13">
        <f t="shared" si="66"/>
        <v>1638.915953</v>
      </c>
      <c r="W43" s="4"/>
      <c r="X43" s="4" t="str">
        <f t="shared" si="5"/>
        <v>N/A</v>
      </c>
      <c r="Y43" s="4"/>
      <c r="Z43" s="4" t="s">
        <v>38</v>
      </c>
    </row>
    <row r="44">
      <c r="A44" s="3" t="s">
        <v>180</v>
      </c>
      <c r="B44" s="4" t="s">
        <v>209</v>
      </c>
      <c r="C44" s="4"/>
      <c r="D44" s="4"/>
      <c r="E44" s="5"/>
      <c r="F44" s="4" t="s">
        <v>210</v>
      </c>
      <c r="G44" s="6" t="str">
        <f t="shared" si="1"/>
        <v>Link</v>
      </c>
      <c r="H44" s="3" t="s">
        <v>45</v>
      </c>
      <c r="I44" s="8" t="str">
        <f t="shared" si="2"/>
        <v>{"address_components":[{"long_name":"639","short_name":"639","types":["street_number"]},{"long_name":"Chemin du Lac-Meech","types":["route"],"short_name":"Chem. du Lac-Meech"},{"short_name":"Chelsea","types":["locality","political"],"long_name":"Chelsea"},{"long_name":"Les Collines-de-l'Outaouais","short_name":"Les Collines-de-l'Outaouais","types":["administrative_area_level_3","political"]},{"long_name":"Outaouais","types":["administrative_area_level_2","political"],"short_name":"Outaouais"},{"long_name":"Québec","types":["administrative_area_level_1","political"],"short_name":"QC"},{"short_name":"CA","types":["country","political"],"long_name":"Canada"},{"long_name":"J9B 1H9","types":["postal_code"],"short_name":"J9B 1H9"},{"short_name":"639","types":["street_number"],"long_name":"639"},{"types":["route"],"long_name":"Chemin du Lac-Meech","short_name":"Chem. du Lac-Meech"},{"long_name":"Chelsea","short_name":"Chelsea","types":["locality","political"]},{"long_name":"Les Collines-de-l'Outaouais","short_name":"Les Collines-de-l'Outaouais","types":["administrative_area_level_3","political"]},{"long_name":"Outaouais","types":["administrative_area_level_2","political"],"short_name":"Outaouais"},{"types":["administrative_area_level_1","political"],"short_name":"QC","long_name":"Québec"},{"long_name":"Canada","short_name":"CA","types":["country","political"]},{"long_name":"J9B 1H9","types":["postal_code"],"short_name":"J9B 1H9"},{"types":["latitude"],"long_name":45.5384189,"short_name":45.5384189},{"types":["longitude"],"long_name":-75.86798619999999,"short_name":-75.86798619999999}],"distance_from":{"mi":{"flying":{"2116 4th Ave, Seattle, WA, 98121":2178.6396908049264},"driving":{"2116 4th Ave, Seattle, WA, 98121":2569.401742329154}}},"duration_from":{"days":{"driving":{"2116 4th Ave, Seattle, WA, 98121":1.7033333333333334}}}}</v>
      </c>
      <c r="J44" s="8" t="str">
        <f t="shared" si="3"/>
        <v>[{"long_name":"639","short_name":"639","types":["street_number"]},{"long_name":"Chemin du Lac-Meech","types":["route"],"short_name":"Chem. du Lac-Meech"},{"short_name":"Chelsea","types":["locality","political"],"long_name":"Chelsea"},{"long_name":"Les Collines-de-l'Outaouais","short_name":"Les Collines-de-l'Outaouais","types":["administrative_area_level_3","political"]},{"long_name":"Outaouais","types":["administrative_area_level_2","political"],"short_name":"Outaouais"},{"long_name":"Québec","types":["administrative_area_level_1","political"],"short_name":"QC"},{"short_name":"CA","types":["country","political"],"long_name":"Canada"},{"long_name":"J9B 1H9","types":["postal_code"],"short_name":"J9B 1H9"},{"short_name":"639","types":["street_number"],"long_name":"639"},{"types":["route"],"long_name":"Chemin du Lac-Meech","short_name":"Chem. du Lac-Meech"},{"long_name":"Chelsea","short_name":"Chelsea","types":["locality","political"]},{"long_name":"Les Collines-de-l'Outaouais","short_name":"Les Collines-de-l'Outaouais","types":["administrative_area_level_3","political"]},{"long_name":"Outaouais","types":["administrative_area_level_2","political"],"short_name":"Outaouais"},{"types":["administrative_area_level_1","political"],"short_name":"QC","long_name":"Québec"},{"long_name":"Canada","short_name":"CA","types":["country","political"]},{"long_name":"J9B 1H9","types":["postal_code"],"short_name":"J9B 1H9"},{"types":["latitude"],"long_name":45.5384189,"short_name":45.5384189},{"types":["longitude"],"long_name":-75.86798619999999,"short_name":-75.86798619999999},{"types":["debug_info","cache_load_result"],"long_name":"hit","short_name":"hit"}]</v>
      </c>
      <c r="K44" s="9" t="b">
        <f t="shared" si="67"/>
        <v>1</v>
      </c>
      <c r="L44" s="8" t="b">
        <f t="shared" si="4"/>
        <v>0</v>
      </c>
      <c r="M44" s="10" t="b">
        <v>1</v>
      </c>
      <c r="N44" s="8">
        <f t="shared" si="59"/>
        <v>45.5384189</v>
      </c>
      <c r="O44" s="8">
        <f t="shared" si="60"/>
        <v>-75.8679862</v>
      </c>
      <c r="P44" s="8" t="str">
        <f t="shared" si="61"/>
        <v>Chelsea</v>
      </c>
      <c r="Q44" s="8" t="str">
        <f t="shared" si="68"/>
        <v>Québec</v>
      </c>
      <c r="R44" s="8" t="str">
        <f t="shared" si="62"/>
        <v>J9B 1H9</v>
      </c>
      <c r="S44" s="8" t="str">
        <f t="shared" si="63"/>
        <v>Canada</v>
      </c>
      <c r="T44" s="11">
        <f t="shared" si="64"/>
        <v>2569.401742</v>
      </c>
      <c r="U44" s="12">
        <f t="shared" si="65"/>
        <v>1.703333333</v>
      </c>
      <c r="V44" s="13">
        <f t="shared" si="66"/>
        <v>2178.639691</v>
      </c>
      <c r="W44" s="4"/>
      <c r="X44" s="4" t="str">
        <f t="shared" si="5"/>
        <v>N/A</v>
      </c>
      <c r="Y44" s="4"/>
      <c r="Z44" s="4" t="s">
        <v>38</v>
      </c>
      <c r="AC44" s="14" t="s">
        <v>102</v>
      </c>
      <c r="AD44" s="4"/>
    </row>
    <row r="45">
      <c r="A45" s="3" t="s">
        <v>180</v>
      </c>
      <c r="B45" s="4" t="s">
        <v>211</v>
      </c>
      <c r="E45" s="3" t="s">
        <v>43</v>
      </c>
      <c r="F45" s="4" t="s">
        <v>212</v>
      </c>
      <c r="G45" s="6" t="str">
        <f t="shared" si="1"/>
        <v>Link</v>
      </c>
      <c r="H45" s="3" t="s">
        <v>213</v>
      </c>
      <c r="I45" s="8" t="str">
        <f t="shared" si="2"/>
        <v>{"address_components":[{"long_name":"Guanajuato","types":["administrative_area_level_1","political"],"short_name":"Gto."},{"types":["country","political"],"long_name":"Mexico","short_name":"MX"},{"long_name":"WR8Q+R8","short_name":"WR8Q+R8","types":["plus_code"]},{"long_name":"Campuzano","types":["locality","political"],"short_name":"Campuzano"},{"long_name":"Guanajuato","short_name":"Gto.","types":["administrative_area_level_1","political"]},{"types":["country","political"],"long_name":"Mexico","short_name":"MX"},{"short_name":"36225","long_name":"36225","types":["postal_code"]},{"types":["latitude"],"long_name":20.9170187,"short_name":20.9170187},{"types":["longitude"],"long_name":-101.1617356,"short_name":-101.1617356}]}</v>
      </c>
      <c r="J45" s="8" t="str">
        <f t="shared" si="3"/>
        <v>[{"long_name":"Guanajuato","types":["administrative_area_level_1","political"],"short_name":"Gto."},{"types":["country","political"],"long_name":"Mexico","short_name":"MX"},{"long_name":"WR8Q+R8","short_name":"WR8Q+R8","types":["plus_code"]},{"long_name":"Campuzano","types":["locality","political"],"short_name":"Campuzano"},{"long_name":"Guanajuato","short_name":"Gto.","types":["administrative_area_level_1","political"]},{"types":["country","political"],"long_name":"Mexico","short_name":"MX"},{"short_name":"36225","long_name":"36225","types":["postal_code"]},{"types":["latitude"],"long_name":20.9170187,"short_name":20.9170187},{"types":["longitude"],"long_name":-101.1617356,"short_name":-101.1617356},{"types":["debug_info","cache_load_result"],"long_name":"hit","short_name":"hit"}]</v>
      </c>
      <c r="K45" s="9" t="b">
        <f t="shared" ref="K45:K46" si="69">NOT(AND(NOT(_xlfn.ISFORMULA(P45)),AND(NOT(_xlfn.ISFORMULA(Q45)),AND(NOT(_xlfn.ISFORMULA(R45)),AND(NOT(_xlfn.ISFORMULA(S45)),AND(NOT(_xlfn.ISFORMULA(T45)),AND(NOT(_xlfn.ISFORMULA(U45)),AND(NOT(_xlfn.ISFORMULA(V45)),AND(NOT(_xlfn.ISFORMULA(N45)),NOT(_xlfn.ISFORMULA(O45)))))))))))</f>
        <v>0</v>
      </c>
      <c r="L45" s="8" t="b">
        <f t="shared" si="4"/>
        <v>1</v>
      </c>
      <c r="M45" s="10" t="b">
        <v>1</v>
      </c>
      <c r="N45" s="10">
        <v>21.0190145</v>
      </c>
      <c r="O45" s="10">
        <v>-101.2573586</v>
      </c>
      <c r="P45" s="10" t="s">
        <v>214</v>
      </c>
      <c r="Q45" s="10" t="s">
        <v>214</v>
      </c>
      <c r="R45" s="10">
        <v>36000.0</v>
      </c>
      <c r="S45" s="10" t="s">
        <v>215</v>
      </c>
      <c r="T45" s="19">
        <v>2652.4</v>
      </c>
      <c r="U45" s="32">
        <v>1.801550925925926</v>
      </c>
      <c r="V45" s="18">
        <v>2180.81</v>
      </c>
      <c r="W45" s="4"/>
      <c r="X45" s="4" t="str">
        <f t="shared" si="5"/>
        <v>N/A</v>
      </c>
      <c r="Z45" s="4" t="s">
        <v>38</v>
      </c>
      <c r="AB45" s="14" t="s">
        <v>216</v>
      </c>
    </row>
    <row r="46" hidden="1">
      <c r="A46" s="3" t="s">
        <v>180</v>
      </c>
      <c r="B46" s="4" t="s">
        <v>217</v>
      </c>
      <c r="C46" s="4"/>
      <c r="D46" s="4"/>
      <c r="E46" s="3" t="s">
        <v>43</v>
      </c>
      <c r="F46" s="4" t="s">
        <v>218</v>
      </c>
      <c r="G46" s="6" t="str">
        <f t="shared" si="1"/>
        <v>Link</v>
      </c>
      <c r="H46" s="3" t="s">
        <v>219</v>
      </c>
      <c r="I46" s="8" t="str">
        <f t="shared" si="2"/>
        <v>{"address_components":[{"long_name":"Skagway","types":["locality","political"],"short_name":"Skagway"},{"long_name":"Skagway Municipality","short_name":"Skagway Municipality","types":["administrative_area_level_2","political"]},{"short_name":"AK","long_name":"Alaska","types":["administrative_area_level_1","political"]},{"types":["country","political"],"long_name":"United States","short_name":"US"},{"short_name":"99840","long_name":"99840","types":["postal_code"]},{"short_name":"701","long_name":"701","types":["street_number"]},{"types":["route"],"long_name":"State Street","short_name":"State St"},{"short_name":"Skagway","long_name":"Skagway","types":["locality","political"]},{"long_name":"Skagway Municipality","types":["administrative_area_level_2","political"],"short_name":"Skagway Municipality"},{"long_name":"Alaska","types":["administrative_area_level_1","political"],"short_name":"AK"},{"types":["country","political"],"long_name":"United States","short_name":"US"},{"long_name":"99840","types":["postal_code"],"short_name":"99840"},{"types":["latitude"],"long_name":59.45717800000001,"short_name":59.45717800000001},{"types":["longitude"],"long_name":-135.3145346,"short_name":-135.3145346}]}</v>
      </c>
      <c r="J46" s="8" t="str">
        <f t="shared" si="3"/>
        <v>[{"long_name":"Skagway","types":["locality","political"],"short_name":"Skagway"},{"long_name":"Skagway Municipality","short_name":"Skagway Municipality","types":["administrative_area_level_2","political"]},{"short_name":"AK","long_name":"Alaska","types":["administrative_area_level_1","political"]},{"types":["country","political"],"long_name":"United States","short_name":"US"},{"short_name":"99840","long_name":"99840","types":["postal_code"]},{"short_name":"701","long_name":"701","types":["street_number"]},{"types":["route"],"long_name":"State Street","short_name":"State St"},{"short_name":"Skagway","long_name":"Skagway","types":["locality","political"]},{"long_name":"Skagway Municipality","types":["administrative_area_level_2","political"],"short_name":"Skagway Municipality"},{"long_name":"Alaska","types":["administrative_area_level_1","political"],"short_name":"AK"},{"types":["country","political"],"long_name":"United States","short_name":"US"},{"long_name":"99840","types":["postal_code"],"short_name":"99840"},{"types":["latitude"],"long_name":59.45717800000001,"short_name":59.45717800000001},{"types":["longitude"],"long_name":-135.3145346,"short_name":-135.3145346},{"types":["debug_info","cache_load_result"],"long_name":"hit","short_name":"hit"}]</v>
      </c>
      <c r="K46" s="9" t="b">
        <f t="shared" si="69"/>
        <v>0</v>
      </c>
      <c r="L46" s="8" t="b">
        <f t="shared" si="4"/>
        <v>1</v>
      </c>
      <c r="M46" s="15" t="b">
        <v>1</v>
      </c>
      <c r="N46" s="10">
        <v>59.457178</v>
      </c>
      <c r="O46" s="10">
        <v>-135.3145346</v>
      </c>
      <c r="P46" s="10" t="s">
        <v>220</v>
      </c>
      <c r="Q46" s="10" t="s">
        <v>137</v>
      </c>
      <c r="R46" s="10">
        <v>99840.0</v>
      </c>
      <c r="S46" s="10" t="s">
        <v>47</v>
      </c>
      <c r="T46" s="19">
        <v>1605.3</v>
      </c>
      <c r="U46" s="32">
        <v>1.2384953703703703</v>
      </c>
      <c r="V46" s="18">
        <v>972.62</v>
      </c>
      <c r="W46" s="4"/>
      <c r="X46" s="4" t="str">
        <f t="shared" si="5"/>
        <v>N/A</v>
      </c>
      <c r="Y46" s="4"/>
      <c r="Z46" s="4" t="s">
        <v>38</v>
      </c>
      <c r="AA46" s="4"/>
      <c r="AB46" s="14" t="s">
        <v>221</v>
      </c>
      <c r="AE46" s="4"/>
      <c r="AF46" s="4" t="s">
        <v>222</v>
      </c>
    </row>
    <row r="47">
      <c r="A47" s="3" t="s">
        <v>180</v>
      </c>
      <c r="B47" s="4" t="s">
        <v>223</v>
      </c>
      <c r="C47" s="4"/>
      <c r="D47" s="4"/>
      <c r="E47" s="5"/>
      <c r="F47" s="4" t="s">
        <v>224</v>
      </c>
      <c r="G47" s="6" t="str">
        <f t="shared" si="1"/>
        <v>Link</v>
      </c>
      <c r="H47" s="3" t="s">
        <v>45</v>
      </c>
      <c r="I47" s="8" t="str">
        <f t="shared" si="2"/>
        <v>{"address_components":[{"types":["locality","political"],"long_name":"San Juan Parangaricutiro","short_name":"San Juan Parangaricutiro"},{"types":["administrative_area_level_1","political"],"long_name":"Michoacán","short_name":"Mich."},{"short_name":"MX","types":["country","political"],"long_name":"Mexico"},{"types":["postal_code"],"long_name":"60243","short_name":"60243"},{"long_name":"JP97+4Q","short_name":"JP97+4Q","types":["plus_code"]},{"types":["locality","political"],"short_name":"San Juan Parangaricutiro","long_name":"San Juan Parangaricutiro"},{"types":["administrative_area_level_1","political"],"long_name":"Michoacán","short_name":"Mich."},{"types":["country","political"],"long_name":"Mexico","short_name":"MX"},{"short_name":"60243","types":["postal_code"],"long_name":"60243"},{"types":["latitude"],"long_name":19.617778,"short_name":19.617778},{"types":["longitude"],"long_name":-102.285556,"short_name":-102.285556}],"distance_from":{"mi":{"flying":{"2116 4th Ave, Seattle, WA, 98121":2237.598021549207},"driving":{"2116 4th Ave, Seattle, WA, 98121":2737.195993388594}}},"duration_from":{"days":{"driving":{"2116 4th Ave, Seattle, WA, 98121":1.8974884259259257}}}}</v>
      </c>
      <c r="J47" s="8" t="str">
        <f t="shared" si="3"/>
        <v>[{"types":["locality","political"],"long_name":"San Juan Parangaricutiro","short_name":"San Juan Parangaricutiro"},{"types":["administrative_area_level_1","political"],"long_name":"Michoacán","short_name":"Mich."},{"short_name":"MX","types":["country","political"],"long_name":"Mexico"},{"types":["postal_code"],"long_name":"60243","short_name":"60243"},{"long_name":"JP97+4Q","short_name":"JP97+4Q","types":["plus_code"]},{"types":["locality","political"],"short_name":"San Juan Parangaricutiro","long_name":"San Juan Parangaricutiro"},{"types":["administrative_area_level_1","political"],"long_name":"Michoacán","short_name":"Mich."},{"types":["country","political"],"long_name":"Mexico","short_name":"MX"},{"short_name":"60243","types":["postal_code"],"long_name":"60243"},{"types":["latitude"],"long_name":19.617778,"short_name":19.617778},{"types":["longitude"],"long_name":-102.285556,"short_name":-102.285556},{"types":["debug_info","cache_load_result"],"long_name":"hit","short_name":"hit"}]</v>
      </c>
      <c r="K47" s="9" t="b">
        <f t="shared" ref="K47:K48" si="70">NOT(AND(NOT(_xlfn.ISFORMULA(P47)),AND(NOT(_xlfn.ISFORMULA(Q47)),AND(NOT(_xlfn.ISFORMULA(R47)),AND(NOT(_xlfn.ISFORMULA(S47)),AND(NOT(_xlfn.ISFORMULA(T47)),AND(NOT(_xlfn.ISFORMULA(U47)),AND(NOT(_xlfn.ISFORMULA(V47))))))))))</f>
        <v>1</v>
      </c>
      <c r="L47" s="8" t="b">
        <f t="shared" si="4"/>
        <v>1</v>
      </c>
      <c r="M47" s="10" t="b">
        <v>1</v>
      </c>
      <c r="N47" s="8">
        <f t="shared" ref="N47:N48" si="71">GOOGLEMAPS_GET_ADDRESS_LATITUDE(F47,true)</f>
        <v>19.617778</v>
      </c>
      <c r="O47" s="8">
        <f t="shared" ref="O47:O48" si="72">GOOGLEMAPS_GET_ADDRESS_LONGITUDE(F47,true)</f>
        <v>-102.285556</v>
      </c>
      <c r="P47" s="8" t="str">
        <f t="shared" ref="P47:P48" si="73">GOOGLEMAPS_GET_ADDRESS_CITY(F47,true,false)</f>
        <v>San Juan Parangaricutiro</v>
      </c>
      <c r="Q47" s="8" t="str">
        <f t="shared" ref="Q47:Q48" si="74">GOOGLEMAPS_GET_ADDRESS_STATE(F47,true,false)</f>
        <v>Michoacán</v>
      </c>
      <c r="R47" s="8" t="str">
        <f t="shared" ref="R47:R48" si="75">GOOGLEMAPS_GET_ADDRESS_POSTAL_CODE(F47,false,false)</f>
        <v>60243</v>
      </c>
      <c r="S47" s="8" t="str">
        <f t="shared" ref="S47:S48" si="76">GOOGLEMAPS_GET_ADDRESS_COUNTRY(F47,true,false)</f>
        <v>Mexico</v>
      </c>
      <c r="T47" s="11">
        <f t="shared" ref="T47:T48" si="77">IFERROR(GOOGLEMAPS_DISTANCE("2116 4th Ave, Seattle, WA, 98121", F47, "driving")+0,"Not Driveable")</f>
        <v>2737.195993</v>
      </c>
      <c r="U47" s="12">
        <f t="shared" ref="U47:U48" si="78">iferror(GOOGLEMAPS_DURATION("2116 4th Ave, Seattle, WA, 98121", F47, "driving")+0,"Not Driveable")</f>
        <v>1.897488426</v>
      </c>
      <c r="V47" s="13">
        <f t="shared" ref="V47:V48" si="79">GOOGLEMAPS_DISTANCE("2116 4th Ave, Seattle, WA, 98121", F47, "flying")+0</f>
        <v>2237.598022</v>
      </c>
      <c r="W47" s="4"/>
      <c r="X47" s="4" t="str">
        <f t="shared" si="5"/>
        <v>N/A</v>
      </c>
      <c r="Y47" s="4"/>
      <c r="Z47" s="4" t="s">
        <v>38</v>
      </c>
      <c r="AC47" s="14" t="s">
        <v>102</v>
      </c>
      <c r="AD47" s="4"/>
      <c r="AE47" s="4"/>
      <c r="AF47" s="4" t="s">
        <v>225</v>
      </c>
    </row>
    <row r="48">
      <c r="A48" s="3" t="s">
        <v>180</v>
      </c>
      <c r="B48" s="4" t="s">
        <v>226</v>
      </c>
      <c r="C48" s="4" t="s">
        <v>227</v>
      </c>
      <c r="D48" s="4" t="s">
        <v>228</v>
      </c>
      <c r="E48" s="5"/>
      <c r="F48" s="4" t="s">
        <v>226</v>
      </c>
      <c r="G48" s="6" t="str">
        <f t="shared" si="1"/>
        <v>Link</v>
      </c>
      <c r="H48" s="5"/>
      <c r="I48" s="7" t="str">
        <f t="shared" si="2"/>
        <v>{"address_components":[{"long_name":"Tinum","types":["locality","political"],"short_name":"Tinum"},{"short_name":"Yuc.","long_name":"Yucatán","types":["administrative_area_level_1","political"]},{"long_name":"Mexico","short_name":"MX","types":["country","political"]},{"short_name":"97751","long_name":"97751","types":["postal_code"]},{"long_name":"MCMJ+5G","types":["plus_code"],"short_name":"MCMJ+5G"},{"short_name":"Chichén-Itzá","long_name":"Chichén-Itzá","types":["locality","political"]},{"long_name":"Yucatan","types":["administrative_area_level_1","political"],"short_name":"Yuc."},{"long_name":"Mexico","short_name":"MX","types":["country","political"]},{"short_name":"97751","types":["postal_code"],"long_name":"97751"},{"types":["latitude"],"long_name":20.6829859,"short_name":20.6829859},{"types":["longitude"],"long_name":-88.5686491,"short_name":-88.5686491}],"duration_from":{"days":{"driving":{"2116 4th Ave, Seattle, WA, 98121":2.554502314814815}}},"distance_from":{"mi":{"driving":{"2116 4th Ave, Seattle, WA, 98121":3685.4766550262843},"flying":{"2116 4th Ave, Seattle, WA, 98121":2644.078939192464}}}}</v>
      </c>
      <c r="J48" s="8" t="str">
        <f t="shared" si="3"/>
        <v>[{"long_name":"Tinum","types":["locality","political"],"short_name":"Tinum"},{"short_name":"Yuc.","long_name":"Yucatán","types":["administrative_area_level_1","political"]},{"long_name":"Mexico","short_name":"MX","types":["country","political"]},{"short_name":"97751","long_name":"97751","types":["postal_code"]},{"long_name":"MCMJ+5G","types":["plus_code"],"short_name":"MCMJ+5G"},{"short_name":"Chichén-Itzá","long_name":"Chichén-Itzá","types":["locality","political"]},{"long_name":"Yucatan","types":["administrative_area_level_1","political"],"short_name":"Yuc."},{"long_name":"Mexico","short_name":"MX","types":["country","political"]},{"short_name":"97751","types":["postal_code"],"long_name":"97751"},{"types":["latitude"],"long_name":20.6829859,"short_name":20.6829859},{"types":["longitude"],"long_name":-88.5686491,"short_name":-88.5686491},{"types":["debug_info","cache_load_result"],"long_name":"hit","short_name":"hit"}]</v>
      </c>
      <c r="K48" s="9" t="b">
        <f t="shared" si="70"/>
        <v>1</v>
      </c>
      <c r="L48" s="8" t="b">
        <f t="shared" si="4"/>
        <v>0</v>
      </c>
      <c r="M48" s="10" t="b">
        <v>1</v>
      </c>
      <c r="N48" s="8">
        <f t="shared" si="71"/>
        <v>20.6829859</v>
      </c>
      <c r="O48" s="8">
        <f t="shared" si="72"/>
        <v>-88.5686491</v>
      </c>
      <c r="P48" s="8" t="str">
        <f t="shared" si="73"/>
        <v>Tinum</v>
      </c>
      <c r="Q48" s="8" t="str">
        <f t="shared" si="74"/>
        <v>Yucatán</v>
      </c>
      <c r="R48" s="8" t="str">
        <f t="shared" si="75"/>
        <v>97751</v>
      </c>
      <c r="S48" s="8" t="str">
        <f t="shared" si="76"/>
        <v>Mexico</v>
      </c>
      <c r="T48" s="11">
        <f t="shared" si="77"/>
        <v>3685.476655</v>
      </c>
      <c r="U48" s="12">
        <f t="shared" si="78"/>
        <v>2.554502315</v>
      </c>
      <c r="V48" s="13">
        <f t="shared" si="79"/>
        <v>2644.078939</v>
      </c>
      <c r="X48" s="4" t="str">
        <f t="shared" si="5"/>
        <v>N/A</v>
      </c>
      <c r="Y48" s="4"/>
      <c r="Z48" s="4" t="s">
        <v>38</v>
      </c>
      <c r="AB48" s="14" t="s">
        <v>69</v>
      </c>
    </row>
    <row r="49" hidden="1">
      <c r="A49" s="3" t="s">
        <v>180</v>
      </c>
      <c r="B49" s="4" t="s">
        <v>229</v>
      </c>
      <c r="C49" s="4"/>
      <c r="D49" s="4"/>
      <c r="E49" s="3" t="s">
        <v>43</v>
      </c>
      <c r="F49" s="4" t="s">
        <v>230</v>
      </c>
      <c r="G49" s="6" t="str">
        <f t="shared" si="1"/>
        <v>Link</v>
      </c>
      <c r="H49" s="3" t="s">
        <v>106</v>
      </c>
      <c r="I49" s="8" t="str">
        <f t="shared" si="2"/>
        <v>{"address_components":[{"types":["locality","political"],"short_name":"Utqiagvik","long_name":"Utqiagvik"},{"long_name":"North Slope Borough","short_name":"North Slope Borough","types":["administrative_area_level_2","political"]},{"types":["administrative_area_level_1","political"],"long_name":"Alaska","short_name":"AK"},{"long_name":"United States","short_name":"US","types":["country","political"]},{"types":["postal_code"],"long_name":"99723","short_name":"99723"},{"short_name":"1052","types":["street_number"],"long_name":"1052"},{"long_name":"Kogiak Street","short_name":"Kogiak St","types":["route"]},{"long_name":"Utqiagvik","short_name":"Utqiagvik","types":["locality","political"]},{"short_name":"North Slope Borough","long_name":"North Slope Borough","types":["administrative_area_level_2","political"]},{"long_name":"Alaska","short_name":"AK","types":["administrative_area_level_1","political"]},{"long_name":"United States","short_name":"US","types":["country","political"]},{"long_name":"99723","short_name":"99723","types":["postal_code"]},{"types":["latitude"],"long_name":71.29055559999999,"short_name":71.29055559999999},{"types":["longitude"],"long_name":-156.7886111,"short_name":-156.7886111}]}</v>
      </c>
      <c r="J49" s="8" t="str">
        <f t="shared" si="3"/>
        <v>[{"types":["locality","political"],"short_name":"Utqiagvik","long_name":"Utqiagvik"},{"long_name":"North Slope Borough","short_name":"North Slope Borough","types":["administrative_area_level_2","political"]},{"types":["administrative_area_level_1","political"],"long_name":"Alaska","short_name":"AK"},{"long_name":"United States","short_name":"US","types":["country","political"]},{"types":["postal_code"],"long_name":"99723","short_name":"99723"},{"short_name":"1052","types":["street_number"],"long_name":"1052"},{"long_name":"Kogiak Street","short_name":"Kogiak St","types":["route"]},{"long_name":"Utqiagvik","short_name":"Utqiagvik","types":["locality","political"]},{"short_name":"North Slope Borough","long_name":"North Slope Borough","types":["administrative_area_level_2","political"]},{"long_name":"Alaska","short_name":"AK","types":["administrative_area_level_1","political"]},{"long_name":"United States","short_name":"US","types":["country","political"]},{"long_name":"99723","short_name":"99723","types":["postal_code"]},{"types":["latitude"],"long_name":71.29055559999999,"short_name":71.29055559999999},{"types":["longitude"],"long_name":-156.7886111,"short_name":-156.7886111},{"types":["debug_info","cache_load_result"],"long_name":"hit","short_name":"hit"}]</v>
      </c>
      <c r="K49" s="9" t="b">
        <f t="shared" ref="K49:K50" si="80">NOT(AND(NOT(_xlfn.ISFORMULA(P49)),AND(NOT(_xlfn.ISFORMULA(Q49)),AND(NOT(_xlfn.ISFORMULA(R49)),AND(NOT(_xlfn.ISFORMULA(S49)),AND(NOT(_xlfn.ISFORMULA(T49)),AND(NOT(_xlfn.ISFORMULA(U49)),AND(NOT(_xlfn.ISFORMULA(V49)),AND(NOT(_xlfn.ISFORMULA(N49)),NOT(_xlfn.ISFORMULA(O49)))))))))))</f>
        <v>0</v>
      </c>
      <c r="L49" s="8" t="b">
        <f t="shared" si="4"/>
        <v>1</v>
      </c>
      <c r="M49" s="10" t="b">
        <v>1</v>
      </c>
      <c r="N49" s="10">
        <v>71.2905556</v>
      </c>
      <c r="O49" s="10">
        <v>-156.7886111</v>
      </c>
      <c r="P49" s="10" t="s">
        <v>231</v>
      </c>
      <c r="Q49" s="10" t="s">
        <v>137</v>
      </c>
      <c r="R49" s="10">
        <v>99723.0</v>
      </c>
      <c r="S49" s="10" t="s">
        <v>47</v>
      </c>
      <c r="T49" s="19" t="s">
        <v>56</v>
      </c>
      <c r="U49" s="20" t="s">
        <v>56</v>
      </c>
      <c r="V49" s="18">
        <v>1976.66</v>
      </c>
      <c r="W49" s="4"/>
      <c r="X49" s="4" t="str">
        <f t="shared" si="5"/>
        <v>N/A</v>
      </c>
      <c r="Y49" s="4"/>
      <c r="Z49" s="4" t="s">
        <v>38</v>
      </c>
    </row>
    <row r="50" hidden="1">
      <c r="A50" s="3" t="s">
        <v>180</v>
      </c>
      <c r="B50" s="4" t="s">
        <v>232</v>
      </c>
      <c r="C50" s="4"/>
      <c r="D50" s="4"/>
      <c r="E50" s="3" t="s">
        <v>43</v>
      </c>
      <c r="F50" s="4" t="s">
        <v>233</v>
      </c>
      <c r="G50" s="6" t="str">
        <f t="shared" si="1"/>
        <v>Link</v>
      </c>
      <c r="H50" s="3" t="s">
        <v>106</v>
      </c>
      <c r="I50" s="8" t="str">
        <f t="shared" si="2"/>
        <v>{"address_components":[{"short_name":"Little Diomede Island","long_name":"Little Diomede Island","types":["establishment","natural_feature"]},{"long_name":"Nome Census Area","short_name":"Nome Census Area","types":["administrative_area_level_2","political"]},{"long_name":"Alaska","types":["administrative_area_level_1","political"],"short_name":"AK"},{"types":["country","political"],"short_name":"US","long_name":"United States"},{"short_name":"99762","long_name":"99762","types":["postal_code"]},{"types":["plus_code"],"long_name":"Q32G+V7","short_name":"Q32G+V7"},{"short_name":"Diomede","long_name":"Diomede","types":["locality","political"]},{"long_name":"Nome Census Area","types":["administrative_area_level_2","political"],"short_name":"Nome Census Area"},{"types":["administrative_area_level_1","political"],"short_name":"AK","long_name":"Alaska"},{"long_name":"United States","types":["country","political"],"short_name":"US"},{"long_name":"99762","short_name":"99762","types":["postal_code"]},{"types":["latitude"],"long_name":65.7521798,"short_name":65.7521798},{"types":["longitude"],"long_name":-168.924255,"short_name":-168.924255}]}</v>
      </c>
      <c r="J50" s="8" t="str">
        <f t="shared" si="3"/>
        <v>[{"short_name":"Little Diomede Island","long_name":"Little Diomede Island","types":["establishment","natural_feature"]},{"long_name":"Nome Census Area","short_name":"Nome Census Area","types":["administrative_area_level_2","political"]},{"long_name":"Alaska","types":["administrative_area_level_1","political"],"short_name":"AK"},{"types":["country","political"],"short_name":"US","long_name":"United States"},{"short_name":"99762","long_name":"99762","types":["postal_code"]},{"types":["plus_code"],"long_name":"Q32G+V7","short_name":"Q32G+V7"},{"short_name":"Diomede","long_name":"Diomede","types":["locality","political"]},{"long_name":"Nome Census Area","types":["administrative_area_level_2","political"],"short_name":"Nome Census Area"},{"types":["administrative_area_level_1","political"],"short_name":"AK","long_name":"Alaska"},{"long_name":"United States","types":["country","political"],"short_name":"US"},{"long_name":"99762","short_name":"99762","types":["postal_code"]},{"types":["latitude"],"long_name":65.7521798,"short_name":65.7521798},{"types":["longitude"],"long_name":-168.924255,"short_name":-168.924255},{"types":["debug_info","cache_load_result"],"long_name":"hit","short_name":"hit"}]</v>
      </c>
      <c r="K50" s="9" t="b">
        <f t="shared" si="80"/>
        <v>0</v>
      </c>
      <c r="L50" s="8" t="b">
        <f t="shared" si="4"/>
        <v>1</v>
      </c>
      <c r="M50" s="10" t="b">
        <v>1</v>
      </c>
      <c r="N50" s="10">
        <v>65.7521798</v>
      </c>
      <c r="O50" s="10">
        <v>-168.924255</v>
      </c>
      <c r="P50" s="10" t="s">
        <v>234</v>
      </c>
      <c r="Q50" s="10" t="s">
        <v>137</v>
      </c>
      <c r="R50" s="10">
        <v>99762.0</v>
      </c>
      <c r="S50" s="10" t="s">
        <v>47</v>
      </c>
      <c r="T50" s="19" t="s">
        <v>56</v>
      </c>
      <c r="U50" s="20" t="s">
        <v>56</v>
      </c>
      <c r="V50" s="18">
        <v>2090.82</v>
      </c>
      <c r="W50" s="4"/>
      <c r="X50" s="4" t="str">
        <f t="shared" si="5"/>
        <v>N/A</v>
      </c>
      <c r="Y50" s="4"/>
      <c r="Z50" s="4" t="s">
        <v>38</v>
      </c>
    </row>
    <row r="51">
      <c r="A51" s="3" t="s">
        <v>180</v>
      </c>
      <c r="B51" s="4" t="s">
        <v>235</v>
      </c>
      <c r="C51" s="4" t="s">
        <v>236</v>
      </c>
      <c r="D51" s="4"/>
      <c r="E51" s="5"/>
      <c r="F51" s="4" t="s">
        <v>235</v>
      </c>
      <c r="G51" s="6" t="str">
        <f t="shared" si="1"/>
        <v>Link</v>
      </c>
      <c r="H51" s="3" t="s">
        <v>45</v>
      </c>
      <c r="I51" s="8" t="str">
        <f t="shared" si="2"/>
        <v>{"address_components":[{"types":["locality","political"],"short_name":"Kirovskiy","long_name":"Kirovskiy"},{"long_name":"Sobolevsky District","types":["administrative_area_level_2","political"],"short_name":"Sobolevsky District"},{"long_name":"Kamchatka Krai","short_name":"Kamchatka Krai","types":["administrative_area_level_1","political"]},{"long_name":"Russia","types":["country","political"],"short_name":"RU"},{"short_name":"684200","long_name":"684200","types":["postal_code"]},{"long_name":"7X39+QH","types":["plus_code"],"short_name":"7X39+QH"},{"long_name":"Kirovskiy","short_name":"Kirovskiy","types":["locality","political"]},{"long_name":"Sobolevsky District","short_name":"Sobolevsky District","types":["administrative_area_level_2","political"]},{"types":["administrative_area_level_1","political"],"long_name":"Kamchatka Krai","short_name":"Kamchatka Krai"},{"types":["country","political"],"long_name":"Russia","short_name":"RU"},{"long_name":"684200","types":["postal_code"],"short_name":"684200"},{"types":["latitude"],"long_name":54.254444,"short_name":54.254444},{"types":["longitude"],"long_name":155.968889,"short_name":155.968889}],"distance_from":{"mi":{"driving":{"2116 4th Ave, Seattle, WA, 98121":"GOOGLE_MAPS_ERROR_CACHED - No route found!"},"flying":{"2116 4th Ave, Seattle, WA, 98121":3383.773472355127}}},"duration_from":{"days":{"driving":{"2116 4th Ave, Seattle, WA, 98121":"GOOGLE_MAPS_ERROR_CACHED - No route found!"}}}}</v>
      </c>
      <c r="J51" s="8" t="str">
        <f t="shared" si="3"/>
        <v>[{"types":["locality","political"],"short_name":"Kirovskiy","long_name":"Kirovskiy"},{"long_name":"Sobolevsky District","types":["administrative_area_level_2","political"],"short_name":"Sobolevsky District"},{"long_name":"Kamchatka Krai","short_name":"Kamchatka Krai","types":["administrative_area_level_1","political"]},{"long_name":"Russia","types":["country","political"],"short_name":"RU"},{"short_name":"684200","long_name":"684200","types":["postal_code"]},{"long_name":"7X39+QH","types":["plus_code"],"short_name":"7X39+QH"},{"long_name":"Kirovskiy","short_name":"Kirovskiy","types":["locality","political"]},{"long_name":"Sobolevsky District","short_name":"Sobolevsky District","types":["administrative_area_level_2","political"]},{"types":["administrative_area_level_1","political"],"long_name":"Kamchatka Krai","short_name":"Kamchatka Krai"},{"types":["country","political"],"long_name":"Russia","short_name":"RU"},{"long_name":"684200","types":["postal_code"],"short_name":"684200"},{"types":["latitude"],"long_name":54.254444,"short_name":54.254444},{"types":["longitude"],"long_name":155.968889,"short_name":155.968889},{"types":["debug_info","cache_load_result"],"long_name":"hit","short_name":"hit"}]</v>
      </c>
      <c r="K51" s="9" t="b">
        <f>NOT(AND(NOT(_xlfn.ISFORMULA(P51)),AND(NOT(_xlfn.ISFORMULA(Q51)),AND(NOT(_xlfn.ISFORMULA(R51)),AND(NOT(_xlfn.ISFORMULA(S51)),AND(NOT(_xlfn.ISFORMULA(T51)),AND(NOT(_xlfn.ISFORMULA(U51)),AND(NOT(_xlfn.ISFORMULA(V51))))))))))</f>
        <v>1</v>
      </c>
      <c r="L51" s="8" t="b">
        <f t="shared" si="4"/>
        <v>0</v>
      </c>
      <c r="M51" s="10" t="b">
        <v>1</v>
      </c>
      <c r="N51" s="8">
        <f>GOOGLEMAPS_GET_ADDRESS_LATITUDE(F51,true)</f>
        <v>54.254444</v>
      </c>
      <c r="O51" s="8">
        <f>GOOGLEMAPS_GET_ADDRESS_LONGITUDE(F51,true)</f>
        <v>155.968889</v>
      </c>
      <c r="P51" s="8" t="str">
        <f>GOOGLEMAPS_GET_ADDRESS_CITY(F51,true,false)</f>
        <v>Kirovskiy</v>
      </c>
      <c r="Q51" s="8" t="str">
        <f>GOOGLEMAPS_GET_ADDRESS_STATE(F51,true,false)</f>
        <v>Kamchatka Krai</v>
      </c>
      <c r="R51" s="8" t="str">
        <f>GOOGLEMAPS_GET_ADDRESS_POSTAL_CODE(F51,false,false)</f>
        <v>684200</v>
      </c>
      <c r="S51" s="8" t="str">
        <f>GOOGLEMAPS_GET_ADDRESS_COUNTRY(F51,true,false)</f>
        <v>Russia</v>
      </c>
      <c r="T51" s="11" t="str">
        <f>IFERROR(GOOGLEMAPS_DISTANCE("2116 4th Ave, Seattle, WA, 98121", F51, "driving")+0,"Not Driveable")</f>
        <v>Not Driveable</v>
      </c>
      <c r="U51" s="12" t="str">
        <f>iferror(GOOGLEMAPS_DURATION("2116 4th Ave, Seattle, WA, 98121", F51, "driving")+0,"Not Driveable")</f>
        <v>Not Driveable</v>
      </c>
      <c r="V51" s="13">
        <f>GOOGLEMAPS_DISTANCE("2116 4th Ave, Seattle, WA, 98121", F51, "flying")+0</f>
        <v>3383.773472</v>
      </c>
      <c r="W51" s="4"/>
      <c r="X51" s="4" t="str">
        <f t="shared" si="5"/>
        <v>N/A</v>
      </c>
      <c r="Y51" s="4"/>
      <c r="Z51" s="4" t="s">
        <v>38</v>
      </c>
      <c r="AB51" s="14" t="s">
        <v>237</v>
      </c>
    </row>
    <row r="52">
      <c r="A52" s="3" t="s">
        <v>180</v>
      </c>
      <c r="B52" s="4" t="s">
        <v>238</v>
      </c>
      <c r="C52" s="4" t="s">
        <v>239</v>
      </c>
      <c r="D52" s="4"/>
      <c r="E52" s="3" t="s">
        <v>43</v>
      </c>
      <c r="F52" s="4" t="s">
        <v>240</v>
      </c>
      <c r="G52" s="6" t="str">
        <f t="shared" si="1"/>
        <v>Link</v>
      </c>
      <c r="H52" s="3" t="s">
        <v>92</v>
      </c>
      <c r="I52" s="8" t="str">
        <f t="shared" si="2"/>
        <v>{"address_components":[{"long_name":"Ittoqqortoormiit","types":["locality","political"],"short_name":"Ittoqqortoormiit"},{"long_name":"Sermersooq Municipality","types":["administrative_area_level_1","political"],"short_name":"Sermersooq Municipality"},{"types":["country","political"],"long_name":"Greenland","short_name":"GL"},{"short_name":"263","long_name":"263","types":["street_number"]},{"long_name":"Inutsaaip Aqqulaa","types":["route"],"short_name":"Inutsaaip Aqqulaa"},{"types":["locality","political"],"long_name":"Ittoqqortoormiit","short_name":"Ittoqqortoormiit"},{"short_name":"Sermersooq Kommune","long_name":"Sermersooq Kommune","types":["administrative_area_level_1","political"]},{"short_name":"GL","types":["country","political"],"long_name":"Greenland"},{"types":["latitude"],"long_name":70.48556909999999,"short_name":70.48556909999999},{"types":["longitude"],"long_name":-21.9628756,"short_name":-21.9628756}]}</v>
      </c>
      <c r="J52" s="8" t="str">
        <f t="shared" si="3"/>
        <v>[{"long_name":"Ittoqqortoormiit","types":["locality","political"],"short_name":"Ittoqqortoormiit"},{"long_name":"Sermersooq Municipality","types":["administrative_area_level_1","political"],"short_name":"Sermersooq Municipality"},{"types":["country","political"],"long_name":"Greenland","short_name":"GL"},{"short_name":"263","long_name":"263","types":["street_number"]},{"long_name":"Inutsaaip Aqqulaa","types":["route"],"short_name":"Inutsaaip Aqqulaa"},{"types":["locality","political"],"long_name":"Ittoqqortoormiit","short_name":"Ittoqqortoormiit"},{"short_name":"Sermersooq Kommune","long_name":"Sermersooq Kommune","types":["administrative_area_level_1","political"]},{"short_name":"GL","types":["country","political"],"long_name":"Greenland"},{"types":["latitude"],"long_name":70.48556909999999,"short_name":70.48556909999999},{"types":["longitude"],"long_name":-21.9628756,"short_name":-21.9628756},{"types":["debug_info","cache_load_result"],"long_name":"hit","short_name":"hit"}]</v>
      </c>
      <c r="K52" s="9" t="b">
        <f>NOT(AND(NOT(_xlfn.ISFORMULA(P52)),AND(NOT(_xlfn.ISFORMULA(Q52)),AND(NOT(_xlfn.ISFORMULA(R52)),AND(NOT(_xlfn.ISFORMULA(S52)),AND(NOT(_xlfn.ISFORMULA(T52)),AND(NOT(_xlfn.ISFORMULA(U52)),AND(NOT(_xlfn.ISFORMULA(V52)),AND(NOT(_xlfn.ISFORMULA(N52)),NOT(_xlfn.ISFORMULA(O52)))))))))))</f>
        <v>0</v>
      </c>
      <c r="L52" s="8" t="b">
        <f t="shared" si="4"/>
        <v>1</v>
      </c>
      <c r="M52" s="10" t="b">
        <v>1</v>
      </c>
      <c r="N52" s="10">
        <v>70.4855691</v>
      </c>
      <c r="O52" s="10">
        <v>-21.9628756</v>
      </c>
      <c r="P52" s="10" t="s">
        <v>241</v>
      </c>
      <c r="Q52" s="10" t="s">
        <v>242</v>
      </c>
      <c r="R52" s="10" t="s">
        <v>55</v>
      </c>
      <c r="S52" s="10" t="s">
        <v>243</v>
      </c>
      <c r="T52" s="19" t="s">
        <v>56</v>
      </c>
      <c r="U52" s="20" t="s">
        <v>56</v>
      </c>
      <c r="V52" s="18">
        <v>3387.85</v>
      </c>
      <c r="W52" s="4"/>
      <c r="X52" s="4" t="str">
        <f t="shared" si="5"/>
        <v>N/A</v>
      </c>
      <c r="Y52" s="4"/>
      <c r="Z52" s="4" t="s">
        <v>38</v>
      </c>
      <c r="AA52" s="4"/>
      <c r="AB52" s="14" t="s">
        <v>244</v>
      </c>
      <c r="AE52" s="4" t="s">
        <v>245</v>
      </c>
    </row>
    <row r="53">
      <c r="A53" s="3" t="s">
        <v>180</v>
      </c>
      <c r="B53" s="4" t="s">
        <v>246</v>
      </c>
      <c r="C53" s="4"/>
      <c r="D53" s="4"/>
      <c r="E53" s="5"/>
      <c r="F53" s="4" t="s">
        <v>247</v>
      </c>
      <c r="G53" s="6" t="str">
        <f t="shared" si="1"/>
        <v>Link</v>
      </c>
      <c r="H53" s="3" t="s">
        <v>120</v>
      </c>
      <c r="I53" s="8" t="str">
        <f t="shared" si="2"/>
        <v>{"duration_from":{"days":{"driving":{"2116 4th Ave, Seattle, WA, 98121":"GOOGLE_MAPS_ERROR_CACHED - No route found!"}}},"distance_from":{"mi":{"driving":{"2116 4th Ave, Seattle, WA, 98121":"GOOGLE_MAPS_ERROR_CACHED - No route found!"},"flying":{"2116 4th Ave, Seattle, WA, 98121":3587.0282227496987}}},"address_components":[{"long_name":"P-504","types":["route"],"short_name":"P-504"},{"types":["country","political"],"long_name":"Russia","short_name":"RU"},{"long_name":"P-504","short_name":"P-504","types":["route"]},{"short_name":"Tomponskiy Ulus","types":["administrative_area_level_2","political"],"long_name":"Tomponskiy Ulus"},{"long_name":"Respublika Sakha (Yakutiya)","types":["administrative_area_level_1","political"],"short_name":"Respublika Sakha (Yakutiya)"},{"types":["country","political"],"long_name":"Russia","short_name":"RU"},{"short_name":"678640","long_name":"678640","types":["postal_code"]},{"types":["latitude"],"long_name":63.2255969,"short_name":63.2255969},{"types":["longitude"],"long_name":139.5916149,"short_name":139.5916149}]}</v>
      </c>
      <c r="J53" s="8" t="str">
        <f t="shared" si="3"/>
        <v>[{"long_name":"P-504","types":["route"],"short_name":"P-504"},{"types":["country","political"],"long_name":"Russia","short_name":"RU"},{"long_name":"P-504","short_name":"P-504","types":["route"]},{"short_name":"Tomponskiy Ulus","types":["administrative_area_level_2","political"],"long_name":"Tomponskiy Ulus"},{"long_name":"Respublika Sakha (Yakutiya)","types":["administrative_area_level_1","political"],"short_name":"Respublika Sakha (Yakutiya)"},{"types":["country","political"],"long_name":"Russia","short_name":"RU"},{"short_name":"678640","long_name":"678640","types":["postal_code"]},{"types":["latitude"],"long_name":63.2255969,"short_name":63.2255969},{"types":["longitude"],"long_name":139.5916149,"short_name":139.5916149},{"types":["debug_info","cache_load_result"],"long_name":"hit","short_name":"hit"}]</v>
      </c>
      <c r="K53" s="9" t="b">
        <f t="shared" ref="K53:K55" si="81">NOT(AND(NOT(_xlfn.ISFORMULA(P53)),AND(NOT(_xlfn.ISFORMULA(Q53)),AND(NOT(_xlfn.ISFORMULA(R53)),AND(NOT(_xlfn.ISFORMULA(S53)),AND(NOT(_xlfn.ISFORMULA(T53)),AND(NOT(_xlfn.ISFORMULA(U53)),AND(NOT(_xlfn.ISFORMULA(V53))))))))))</f>
        <v>1</v>
      </c>
      <c r="L53" s="8" t="b">
        <f t="shared" si="4"/>
        <v>0</v>
      </c>
      <c r="M53" s="10" t="b">
        <v>1</v>
      </c>
      <c r="N53" s="8">
        <f t="shared" ref="N53:N55" si="82">GOOGLEMAPS_GET_ADDRESS_LATITUDE(F53,true)</f>
        <v>63.2255969</v>
      </c>
      <c r="O53" s="8">
        <f t="shared" ref="O53:O55" si="83">GOOGLEMAPS_GET_ADDRESS_LONGITUDE(F53,true)</f>
        <v>139.5916149</v>
      </c>
      <c r="P53" s="8" t="str">
        <f t="shared" ref="P53:P55" si="84">GOOGLEMAPS_GET_ADDRESS_CITY(F53,true,false)</f>
        <v>UNDEFINED</v>
      </c>
      <c r="Q53" s="8" t="str">
        <f t="shared" ref="Q53:Q55" si="85">GOOGLEMAPS_GET_ADDRESS_STATE(F53,true,false)</f>
        <v>Respublika Sakha (Yakutiya)</v>
      </c>
      <c r="R53" s="8" t="str">
        <f t="shared" ref="R53:R55" si="86">GOOGLEMAPS_GET_ADDRESS_POSTAL_CODE(F53,false,false)</f>
        <v>678640</v>
      </c>
      <c r="S53" s="8" t="str">
        <f t="shared" ref="S53:S55" si="87">GOOGLEMAPS_GET_ADDRESS_COUNTRY(F53,true,false)</f>
        <v>Russia</v>
      </c>
      <c r="T53" s="11" t="str">
        <f t="shared" ref="T53:T55" si="88">IFERROR(GOOGLEMAPS_DISTANCE("2116 4th Ave, Seattle, WA, 98121", F53, "driving")+0,"Not Driveable")</f>
        <v>Not Driveable</v>
      </c>
      <c r="U53" s="12" t="str">
        <f t="shared" ref="U53:U55" si="89">iferror(GOOGLEMAPS_DURATION("2116 4th Ave, Seattle, WA, 98121", F53, "driving")+0,"Not Driveable")</f>
        <v>Not Driveable</v>
      </c>
      <c r="V53" s="13">
        <f t="shared" ref="V53:V55" si="90">GOOGLEMAPS_DISTANCE("2116 4th Ave, Seattle, WA, 98121", F53, "flying")+0</f>
        <v>3587.028223</v>
      </c>
      <c r="W53" s="4"/>
      <c r="X53" s="4" t="str">
        <f t="shared" si="5"/>
        <v>N/A</v>
      </c>
      <c r="Y53" s="4"/>
      <c r="Z53" s="4" t="s">
        <v>38</v>
      </c>
    </row>
    <row r="54" hidden="1">
      <c r="A54" s="3" t="s">
        <v>180</v>
      </c>
      <c r="B54" s="4" t="s">
        <v>248</v>
      </c>
      <c r="C54" s="4"/>
      <c r="D54" s="4"/>
      <c r="E54" s="3" t="s">
        <v>43</v>
      </c>
      <c r="F54" s="4" t="s">
        <v>249</v>
      </c>
      <c r="G54" s="6" t="str">
        <f t="shared" si="1"/>
        <v>Link</v>
      </c>
      <c r="H54" s="3" t="s">
        <v>106</v>
      </c>
      <c r="I54" s="8" t="str">
        <f t="shared" si="2"/>
        <v>{"address_components":[{"short_name":"Cappadocia","long_name":"Cappadocia","types":["colloquial_area","political"]},{"long_name":"Türkiye","short_name":"TR","types":["country","political"]},{"long_name":"کاپادوکیه","types":[],"short_name":""},{"long_name":"Türkiye","short_name":"TR","types":["country","political"]},{"types":["administrative_area_level_4","political"],"short_name":"2. Küme","long_name":"2. Küme"},{"short_name":"Çavuşin","types":["administrative_area_level_3","political"],"long_name":"Çavuşin"},{"types":["administrative_area_level_2","political"],"short_name":"Avanos","long_name":"Avanos"},{"types":["administrative_area_level_1","political"],"long_name":"Nevşehir","short_name":"Nevşehir"},{"types":["postal_code"],"long_name":"50502","short_name":"50502"},{"types":["latitude"],"long_name":38.6586639,"short_name":38.6586639},{"types":["longitude"],"long_name":34.8531604,"short_name":34.8531604}],"distance_from":{"mi":{"driving":{"2116 4th Ave, Seattle, WA, 98121":"GOOGLE_MAPS_ERROR_CACHED - No route found!"},"flying":{"2116 4th Ave, Seattle, WA, 98121":6312.844395839288}}},"duration_from":{"days":{"driving":{"2116 4th Ave, Seattle, WA, 98121":"GOOGLE_MAPS_ERROR_CACHED - No route found!"}}}}</v>
      </c>
      <c r="J54" s="8" t="str">
        <f t="shared" si="3"/>
        <v>[{"short_name":"Cappadocia","long_name":"Cappadocia","types":["colloquial_area","political"]},{"long_name":"Türkiye","short_name":"TR","types":["country","political"]},{"long_name":"کاپادوکیه","types":[],"short_name":""},{"long_name":"Türkiye","short_name":"TR","types":["country","political"]},{"types":["administrative_area_level_4","political"],"short_name":"2. Küme","long_name":"2. Küme"},{"short_name":"Çavuşin","types":["administrative_area_level_3","political"],"long_name":"Çavuşin"},{"types":["administrative_area_level_2","political"],"short_name":"Avanos","long_name":"Avanos"},{"types":["administrative_area_level_1","political"],"long_name":"Nevşehir","short_name":"Nevşehir"},{"types":["postal_code"],"long_name":"50502","short_name":"50502"},{"types":["latitude"],"long_name":38.6586639,"short_name":38.6586639},{"types":["longitude"],"long_name":34.8531604,"short_name":34.8531604},{"types":["debug_info","cache_load_result"],"long_name":"hit","short_name":"hit"}]</v>
      </c>
      <c r="K54" s="9" t="b">
        <f t="shared" si="81"/>
        <v>1</v>
      </c>
      <c r="L54" s="8" t="b">
        <f t="shared" si="4"/>
        <v>0</v>
      </c>
      <c r="M54" s="10" t="b">
        <v>1</v>
      </c>
      <c r="N54" s="8">
        <f t="shared" si="82"/>
        <v>38.6586639</v>
      </c>
      <c r="O54" s="8">
        <f t="shared" si="83"/>
        <v>34.8531604</v>
      </c>
      <c r="P54" s="8" t="str">
        <f t="shared" si="84"/>
        <v>UNDEFINED</v>
      </c>
      <c r="Q54" s="8" t="str">
        <f t="shared" si="85"/>
        <v>Nevşehir</v>
      </c>
      <c r="R54" s="8" t="str">
        <f t="shared" si="86"/>
        <v>50502</v>
      </c>
      <c r="S54" s="8" t="str">
        <f t="shared" si="87"/>
        <v>Türkiye</v>
      </c>
      <c r="T54" s="11" t="str">
        <f t="shared" si="88"/>
        <v>Not Driveable</v>
      </c>
      <c r="U54" s="12" t="str">
        <f t="shared" si="89"/>
        <v>Not Driveable</v>
      </c>
      <c r="V54" s="13">
        <f t="shared" si="90"/>
        <v>6312.844396</v>
      </c>
      <c r="W54" s="4"/>
      <c r="X54" s="4" t="str">
        <f t="shared" si="5"/>
        <v>N/A</v>
      </c>
      <c r="Y54" s="4"/>
      <c r="Z54" s="4" t="s">
        <v>38</v>
      </c>
    </row>
    <row r="55" hidden="1">
      <c r="A55" s="3" t="s">
        <v>180</v>
      </c>
      <c r="B55" s="4" t="s">
        <v>98</v>
      </c>
      <c r="C55" s="4" t="s">
        <v>250</v>
      </c>
      <c r="D55" s="4" t="s">
        <v>251</v>
      </c>
      <c r="E55" s="3" t="s">
        <v>81</v>
      </c>
      <c r="F55" s="30" t="s">
        <v>252</v>
      </c>
      <c r="G55" s="6" t="str">
        <f t="shared" si="1"/>
        <v>Link</v>
      </c>
      <c r="H55" s="5"/>
      <c r="I55" s="7" t="str">
        <f t="shared" si="2"/>
        <v>{"duration_from":{"days":{"driving":{"2116 4th Ave, Seattle, WA, 98121":"GOOGLE_MAPS_ERROR_CACHED - No route found!"}}},"distance_from":{"mi":{"driving":{"2116 4th Ave, Seattle, WA, 98121":"GOOGLE_MAPS_ERROR_CACHED - No route found!"},"flying":{"2116 4th Ave, Seattle, WA, 98121":5408.655722221532}}},"address_components":[{"long_name":"Vulytsya Bez Nazvy","types":["route"],"short_name":"Vulytsya Bez Nazvy"},{"types":["administrative_area_level_2","political"],"long_name":"Ivankivs'kyi district","short_name":"Ivankivs'kyi district"},{"types":["administrative_area_level_1","political"],"short_name":"Kyivs'ka oblast","long_name":"Kyivs'ka oblast"},{"long_name":"Ukraine","types":["country","political"],"short_name":"UA"},{"long_name":"824M+WG","short_name":"824M+WG","types":["plus_code"]},{"types":["locality","political"],"long_name":"Pryp'yat'","short_name":"Pryp'yat'"},{"long_name":"Ivankivs'kyi district","types":["administrative_area_level_2","political"],"short_name":"Ivankivs'kyi district"},{"long_name":"Kyiv Oblast","short_name":"Kyiv Oblast","types":["administrative_area_level_1","political"]},{"long_name":"Ukraine","short_name":"UA","types":["country","political"]},{"types":["latitude"],"long_name":51.3073145,"short_name":51.3073145},{"types":["longitude"],"long_name":30.033789,"short_name":30.033789}]}</v>
      </c>
      <c r="J55" s="8" t="str">
        <f t="shared" si="3"/>
        <v>[{"long_name":"Vulytsya Bez Nazvy","types":["route"],"short_name":"Vulytsya Bez Nazvy"},{"types":["administrative_area_level_2","political"],"long_name":"Ivankivs'kyi district","short_name":"Ivankivs'kyi district"},{"types":["administrative_area_level_1","political"],"short_name":"Kyivs'ka oblast","long_name":"Kyivs'ka oblast"},{"long_name":"Ukraine","types":["country","political"],"short_name":"UA"},{"long_name":"824M+WG","short_name":"824M+WG","types":["plus_code"]},{"types":["locality","political"],"long_name":"Pryp'yat'","short_name":"Pryp'yat'"},{"long_name":"Ivankivs'kyi district","types":["administrative_area_level_2","political"],"short_name":"Ivankivs'kyi district"},{"long_name":"Kyiv Oblast","short_name":"Kyiv Oblast","types":["administrative_area_level_1","political"]},{"long_name":"Ukraine","short_name":"UA","types":["country","political"]},{"types":["latitude"],"long_name":51.3073145,"short_name":51.3073145},{"types":["longitude"],"long_name":30.033789,"short_name":30.033789},{"types":["debug_info","cache_load_result"],"long_name":"hit","short_name":"hit"}]</v>
      </c>
      <c r="K55" s="9" t="b">
        <f t="shared" si="81"/>
        <v>1</v>
      </c>
      <c r="L55" s="8" t="b">
        <f t="shared" si="4"/>
        <v>0</v>
      </c>
      <c r="M55" s="10" t="b">
        <v>1</v>
      </c>
      <c r="N55" s="8">
        <f t="shared" si="82"/>
        <v>51.3073145</v>
      </c>
      <c r="O55" s="8">
        <f t="shared" si="83"/>
        <v>30.033789</v>
      </c>
      <c r="P55" s="8" t="str">
        <f t="shared" si="84"/>
        <v>Pryp'yat'</v>
      </c>
      <c r="Q55" s="8" t="str">
        <f t="shared" si="85"/>
        <v>Kyivs'ka oblast</v>
      </c>
      <c r="R55" s="8" t="str">
        <f t="shared" si="86"/>
        <v>UNDEFINED</v>
      </c>
      <c r="S55" s="8" t="str">
        <f t="shared" si="87"/>
        <v>Ukraine</v>
      </c>
      <c r="T55" s="11" t="str">
        <f t="shared" si="88"/>
        <v>Not Driveable</v>
      </c>
      <c r="U55" s="12" t="str">
        <f t="shared" si="89"/>
        <v>Not Driveable</v>
      </c>
      <c r="V55" s="13">
        <f t="shared" si="90"/>
        <v>5408.655722</v>
      </c>
      <c r="X55" s="4" t="str">
        <f t="shared" si="5"/>
        <v>N/A</v>
      </c>
      <c r="Y55" s="4"/>
      <c r="Z55" s="4" t="s">
        <v>38</v>
      </c>
      <c r="AB55" s="14" t="s">
        <v>69</v>
      </c>
    </row>
    <row r="56">
      <c r="A56" s="3" t="s">
        <v>180</v>
      </c>
      <c r="B56" s="4" t="s">
        <v>253</v>
      </c>
      <c r="C56" s="4" t="s">
        <v>254</v>
      </c>
      <c r="D56" s="4" t="s">
        <v>255</v>
      </c>
      <c r="E56" s="5"/>
      <c r="F56" s="4" t="s">
        <v>253</v>
      </c>
      <c r="G56" s="6" t="str">
        <f t="shared" si="1"/>
        <v>Link</v>
      </c>
      <c r="H56" s="5"/>
      <c r="I56" s="7" t="str">
        <f t="shared" si="2"/>
        <v>{"address_components":[{"long_name":"Plymouth","short_name":"Plymouth","types":["locality","political"]},{"long_name":"Saint Anthony Parish","short_name":"Saint Anthony Parish","types":["administrative_area_level_1","political"]},{"short_name":"MS","types":["country","political"],"long_name":"Montserrat"},{"long_name":"PQ4M+JP","short_name":"PQ4M+JP","types":["plus_code"]},{"long_name":"Plymouth","short_name":"Plymouth","types":["locality","political"]},{"long_name":"Saint Anthony Parish","types":["administrative_area_level_1","political"],"short_name":"Saint Anthony Parish"},{"short_name":"MS","long_name":"Montserrat","types":["country","political"]},{"types":["latitude"],"long_name":16.706523,"short_name":16.706523},{"types":["longitude"],"long_name":-62.21573799999999,"short_name":-62.21573799999999}]}</v>
      </c>
      <c r="J56" s="8" t="str">
        <f t="shared" si="3"/>
        <v>[{"long_name":"Plymouth","short_name":"Plymouth","types":["locality","political"]},{"long_name":"Saint Anthony Parish","short_name":"Saint Anthony Parish","types":["administrative_area_level_1","political"]},{"short_name":"MS","types":["country","political"],"long_name":"Montserrat"},{"long_name":"PQ4M+JP","short_name":"PQ4M+JP","types":["plus_code"]},{"long_name":"Plymouth","short_name":"Plymouth","types":["locality","political"]},{"long_name":"Saint Anthony Parish","types":["administrative_area_level_1","political"],"short_name":"Saint Anthony Parish"},{"short_name":"MS","long_name":"Montserrat","types":["country","political"]},{"types":["latitude"],"long_name":16.706523,"short_name":16.706523},{"types":["longitude"],"long_name":-62.21573799999999,"short_name":-62.21573799999999},{"types":["debug_info","cache_load_result"],"long_name":"hit","short_name":"hit"}]</v>
      </c>
      <c r="K56" s="9" t="b">
        <f>NOT(AND(NOT(_xlfn.ISFORMULA(P56)),AND(NOT(_xlfn.ISFORMULA(Q56)),AND(NOT(_xlfn.ISFORMULA(R56)),AND(NOT(_xlfn.ISFORMULA(S56)),AND(NOT(_xlfn.ISFORMULA(T56)),AND(NOT(_xlfn.ISFORMULA(U56)),AND(NOT(_xlfn.ISFORMULA(V56)),AND(NOT(_xlfn.ISFORMULA(N56)),NOT(_xlfn.ISFORMULA(O56)))))))))))</f>
        <v>0</v>
      </c>
      <c r="L56" s="8" t="b">
        <f t="shared" si="4"/>
        <v>1</v>
      </c>
      <c r="M56" s="10" t="b">
        <v>1</v>
      </c>
      <c r="N56" s="10">
        <v>16.706523</v>
      </c>
      <c r="O56" s="10">
        <v>-62.215738</v>
      </c>
      <c r="P56" s="10" t="s">
        <v>256</v>
      </c>
      <c r="Q56" s="10" t="s">
        <v>257</v>
      </c>
      <c r="R56" s="10" t="s">
        <v>55</v>
      </c>
      <c r="S56" s="10" t="s">
        <v>258</v>
      </c>
      <c r="T56" s="19" t="s">
        <v>56</v>
      </c>
      <c r="U56" s="20" t="s">
        <v>56</v>
      </c>
      <c r="V56" s="18">
        <v>3988.66</v>
      </c>
      <c r="X56" s="4" t="str">
        <f t="shared" si="5"/>
        <v>N/A</v>
      </c>
      <c r="Y56" s="4"/>
      <c r="Z56" s="4" t="s">
        <v>38</v>
      </c>
      <c r="AB56" s="14" t="s">
        <v>69</v>
      </c>
    </row>
    <row r="57" hidden="1">
      <c r="A57" s="3" t="s">
        <v>180</v>
      </c>
      <c r="B57" s="4" t="s">
        <v>259</v>
      </c>
      <c r="C57" s="4" t="s">
        <v>260</v>
      </c>
      <c r="D57" s="4" t="s">
        <v>261</v>
      </c>
      <c r="E57" s="3" t="s">
        <v>174</v>
      </c>
      <c r="F57" s="4" t="s">
        <v>259</v>
      </c>
      <c r="G57" s="6" t="str">
        <f t="shared" si="1"/>
        <v>Link</v>
      </c>
      <c r="H57" s="3" t="s">
        <v>37</v>
      </c>
      <c r="I57" s="7" t="str">
        <f t="shared" si="2"/>
        <v>{"address_components":[{"short_name":"South Farallon Islands","types":["establishment","natural_feature"],"long_name":"Southeast Farallon Island"},{"long_name":"San Francisco","short_name":"SF","types":["locality","political"]},{"long_name":"San Francisco County","short_name":"San Francisco County","types":["administrative_area_level_2","political"]},{"short_name":"CA","types":["administrative_area_level_1","political"],"long_name":"California"},{"long_name":"United States","short_name":"US","types":["country","political"]},{"long_name":"849RMXXX+C4","short_name":"849RMXXX+C4","types":["plus_code"]},{"types":["latitude"],"long_name":37.6985723,"short_name":37.6985723},{"types":["longitude"],"long_name":-123.0022067,"short_name":-123.0022067}],"duration_from":{"days":{"driving":{"2116 4th Ave, Seattle, WA, 98121":"GOOGLE_MAPS_ERROR_CACHED - No route found!"}}},"distance_from":{"mi":{"driving":{"2116 4th Ave, Seattle, WA, 98121":"GOOGLE_MAPS_ERROR_CACHED - No route found!"},"flying":{"2116 4th Ave, Seattle, WA, 98121":685.9352281059316}}}}</v>
      </c>
      <c r="J57" s="8" t="str">
        <f t="shared" si="3"/>
        <v>[{"short_name":"South Farallon Islands","types":["establishment","natural_feature"],"long_name":"Southeast Farallon Island"},{"long_name":"San Francisco","short_name":"SF","types":["locality","political"]},{"long_name":"San Francisco County","short_name":"San Francisco County","types":["administrative_area_level_2","political"]},{"short_name":"CA","types":["administrative_area_level_1","political"],"long_name":"California"},{"long_name":"United States","short_name":"US","types":["country","political"]},{"long_name":"849RMXXX+C4","short_name":"849RMXXX+C4","types":["plus_code"]},{"types":["latitude"],"long_name":37.6985723,"short_name":37.6985723},{"types":["longitude"],"long_name":-123.0022067,"short_name":-123.0022067},{"types":["debug_info","cache_load_result"],"long_name":"hit","short_name":"hit"}]</v>
      </c>
      <c r="K57" s="9" t="b">
        <f t="shared" ref="K57:K61" si="91">NOT(AND(NOT(_xlfn.ISFORMULA(P57)),AND(NOT(_xlfn.ISFORMULA(Q57)),AND(NOT(_xlfn.ISFORMULA(R57)),AND(NOT(_xlfn.ISFORMULA(S57)),AND(NOT(_xlfn.ISFORMULA(T57)),AND(NOT(_xlfn.ISFORMULA(U57)),AND(NOT(_xlfn.ISFORMULA(V57))))))))))</f>
        <v>1</v>
      </c>
      <c r="L57" s="8" t="b">
        <f t="shared" si="4"/>
        <v>0</v>
      </c>
      <c r="M57" s="10" t="b">
        <v>1</v>
      </c>
      <c r="N57" s="8">
        <f t="shared" ref="N57:N61" si="92">GOOGLEMAPS_GET_ADDRESS_LATITUDE(F57,true)</f>
        <v>37.6985723</v>
      </c>
      <c r="O57" s="8">
        <f t="shared" ref="O57:O61" si="93">GOOGLEMAPS_GET_ADDRESS_LONGITUDE(F57,true)</f>
        <v>-123.0022067</v>
      </c>
      <c r="P57" s="8" t="str">
        <f t="shared" ref="P57:P61" si="94">GOOGLEMAPS_GET_ADDRESS_CITY(F57,true,false)</f>
        <v>San Francisco</v>
      </c>
      <c r="Q57" s="8" t="str">
        <f t="shared" ref="Q57:Q61" si="95">GOOGLEMAPS_GET_ADDRESS_STATE(F57,true,false)</f>
        <v>California</v>
      </c>
      <c r="R57" s="8" t="str">
        <f t="shared" ref="R57:R61" si="96">GOOGLEMAPS_GET_ADDRESS_POSTAL_CODE(F57,false,false)</f>
        <v>UNDEFINED</v>
      </c>
      <c r="S57" s="8" t="str">
        <f t="shared" ref="S57:S61" si="97">GOOGLEMAPS_GET_ADDRESS_COUNTRY(F57,true,false)</f>
        <v>United States</v>
      </c>
      <c r="T57" s="11" t="str">
        <f t="shared" ref="T57:T61" si="98">IFERROR(GOOGLEMAPS_DISTANCE("2116 4th Ave, Seattle, WA, 98121", F57, "driving")+0,"Not Driveable")</f>
        <v>Not Driveable</v>
      </c>
      <c r="U57" s="12" t="str">
        <f t="shared" ref="U57:U61" si="99">iferror(GOOGLEMAPS_DURATION("2116 4th Ave, Seattle, WA, 98121", F57, "driving")+0,"Not Driveable")</f>
        <v>Not Driveable</v>
      </c>
      <c r="V57" s="13">
        <f t="shared" ref="V57:V61" si="100">GOOGLEMAPS_DISTANCE("2116 4th Ave, Seattle, WA, 98121", F57, "flying")+0</f>
        <v>685.9352281</v>
      </c>
      <c r="X57" s="4" t="str">
        <f t="shared" si="5"/>
        <v>N/A</v>
      </c>
      <c r="Y57" s="4"/>
      <c r="Z57" s="4" t="s">
        <v>38</v>
      </c>
      <c r="AB57" s="14" t="s">
        <v>69</v>
      </c>
    </row>
    <row r="58">
      <c r="A58" s="3" t="s">
        <v>180</v>
      </c>
      <c r="B58" s="4" t="s">
        <v>262</v>
      </c>
      <c r="C58" s="4"/>
      <c r="D58" s="4"/>
      <c r="E58" s="5"/>
      <c r="F58" s="4" t="s">
        <v>263</v>
      </c>
      <c r="G58" s="6" t="str">
        <f t="shared" si="1"/>
        <v>Link</v>
      </c>
      <c r="H58" s="3" t="s">
        <v>37</v>
      </c>
      <c r="I58" s="8" t="str">
        <f t="shared" si="2"/>
        <v>{"address_components":[{"types":["archipelago","establishment","natural_feature"],"long_name":"St. Kilda","short_name":"St. Kilda"},{"short_name":"Scotland","long_name":"Scotland","types":["administrative_area_level_1","political"]},{"types":["country","political"],"long_name":"United Kingdom","short_name":"GB"},{"long_name":"9C9HRCMP+WH","short_name":"9C9HRCMP+WH","types":["plus_code"]},{"types":["latitude"],"long_name":57.83481324783624,"short_name":57.83481324783624},{"types":["longitude"],"long_name":-8.56354406037558,"short_name":-8.56354406037558}],"duration_from":{"days":{"driving":{"2116 4th Ave, Seattle, WA, 98121":"GOOGLE_MAPS_ERROR_CACHED - No route found!"}}},"distance_from":{"mi":{"driving":{"2116 4th Ave, Seattle, WA, 98121":"GOOGLE_MAPS_ERROR_CACHED - No route found!"},"flying":{"2116 4th Ave, Seattle, WA, 98121":4233.90458200256}}}}</v>
      </c>
      <c r="J58" s="8" t="str">
        <f t="shared" si="3"/>
        <v>[{"types":["archipelago","establishment","natural_feature"],"long_name":"St. Kilda","short_name":"St. Kilda"},{"short_name":"Scotland","long_name":"Scotland","types":["administrative_area_level_1","political"]},{"types":["country","political"],"long_name":"United Kingdom","short_name":"GB"},{"long_name":"9C9HRCMP+WH","short_name":"9C9HRCMP+WH","types":["plus_code"]},{"types":["latitude"],"long_name":57.83481324783624,"short_name":57.83481324783624},{"types":["longitude"],"long_name":-8.56354406037558,"short_name":-8.56354406037558},{"types":["debug_info","cache_load_result"],"long_name":"hit","short_name":"hit"}]</v>
      </c>
      <c r="K58" s="9" t="b">
        <f t="shared" si="91"/>
        <v>1</v>
      </c>
      <c r="L58" s="8" t="b">
        <f t="shared" si="4"/>
        <v>0</v>
      </c>
      <c r="M58" s="10" t="b">
        <v>1</v>
      </c>
      <c r="N58" s="8">
        <f t="shared" si="92"/>
        <v>57.83481325</v>
      </c>
      <c r="O58" s="8">
        <f t="shared" si="93"/>
        <v>-8.56354406</v>
      </c>
      <c r="P58" s="8" t="str">
        <f t="shared" si="94"/>
        <v>UNDEFINED</v>
      </c>
      <c r="Q58" s="8" t="str">
        <f t="shared" si="95"/>
        <v>Scotland</v>
      </c>
      <c r="R58" s="8" t="str">
        <f t="shared" si="96"/>
        <v>UNDEFINED</v>
      </c>
      <c r="S58" s="8" t="str">
        <f t="shared" si="97"/>
        <v>United Kingdom</v>
      </c>
      <c r="T58" s="11" t="str">
        <f t="shared" si="98"/>
        <v>Not Driveable</v>
      </c>
      <c r="U58" s="12" t="str">
        <f t="shared" si="99"/>
        <v>Not Driveable</v>
      </c>
      <c r="V58" s="13">
        <f t="shared" si="100"/>
        <v>4233.904582</v>
      </c>
      <c r="W58" s="4"/>
      <c r="X58" s="4" t="str">
        <f t="shared" si="5"/>
        <v>N/A</v>
      </c>
      <c r="Y58" s="4"/>
      <c r="Z58" s="4" t="s">
        <v>38</v>
      </c>
      <c r="AC58" s="14" t="s">
        <v>264</v>
      </c>
    </row>
    <row r="59" hidden="1">
      <c r="A59" s="3" t="s">
        <v>180</v>
      </c>
      <c r="B59" s="4" t="s">
        <v>265</v>
      </c>
      <c r="C59" s="4" t="s">
        <v>266</v>
      </c>
      <c r="D59" s="4" t="s">
        <v>267</v>
      </c>
      <c r="E59" s="3" t="s">
        <v>68</v>
      </c>
      <c r="F59" s="4" t="s">
        <v>265</v>
      </c>
      <c r="G59" s="6" t="str">
        <f t="shared" si="1"/>
        <v>Link</v>
      </c>
      <c r="H59" s="5"/>
      <c r="I59" s="8" t="str">
        <f t="shared" si="2"/>
        <v>{"address_components":[{"short_name":"Mausoleum of the First Qin Emperor","types":["establishment","park","point_of_interest"],"long_name":"Mausoleum of the First Qin Emperor"},{"long_name":"Lin Tong Qu","short_name":"Lin Tong Qu","types":["political","sublocality","sublocality_level_1"]},{"long_name":"Xi An Shi","short_name":"Xi An Shi","types":["locality","political"]},{"short_name":"CN","types":["country","political"],"long_name":"China"},{"long_name":"710608","short_name":"710608","types":["postal_code"]},{"types":["plus_code"],"short_name":"97P5+45","long_name":"97P5+45"},{"long_name":"Lintong District","short_name":"Lintong District","types":["political","sublocality","sublocality_level_1"]},{"long_name":"Xi'An","short_name":"Xi'An","types":["locality","political"]},{"types":["administrative_area_level_1","political"],"short_name":"Shaanxi","long_name":"Shaanxi"},{"short_name":"CN","types":["country","political"],"long_name":"China"},{"types":["latitude"],"long_name":34.3852912,"short_name":34.3852912},{"types":["longitude"],"long_name":109.2578774,"short_name":109.2578774}],"distance_from":{"mi":{"driving":{"2116 4th Ave, Seattle, WA, 98121":"GOOGLE_MAPS_ERROR_CACHED - No route found!"},"flying":{"2116 4th Ave, Seattle, WA, 98121":5934.793766388706}}},"duration_from":{"days":{"driving":{"2116 4th Ave, Seattle, WA, 98121":"GOOGLE_MAPS_ERROR_CACHED - No route found!"}}}}</v>
      </c>
      <c r="J59" s="8" t="str">
        <f t="shared" si="3"/>
        <v>[{"short_name":"Mausoleum of the First Qin Emperor","types":["establishment","park","point_of_interest"],"long_name":"Mausoleum of the First Qin Emperor"},{"long_name":"Lin Tong Qu","short_name":"Lin Tong Qu","types":["political","sublocality","sublocality_level_1"]},{"long_name":"Xi An Shi","short_name":"Xi An Shi","types":["locality","political"]},{"short_name":"CN","types":["country","political"],"long_name":"China"},{"long_name":"710608","short_name":"710608","types":["postal_code"]},{"types":["plus_code"],"short_name":"97P5+45","long_name":"97P5+45"},{"long_name":"Lintong District","short_name":"Lintong District","types":["political","sublocality","sublocality_level_1"]},{"long_name":"Xi'An","short_name":"Xi'An","types":["locality","political"]},{"types":["administrative_area_level_1","political"],"short_name":"Shaanxi","long_name":"Shaanxi"},{"short_name":"CN","types":["country","political"],"long_name":"China"},{"types":["latitude"],"long_name":34.3852912,"short_name":34.3852912},{"types":["longitude"],"long_name":109.2578774,"short_name":109.2578774},{"types":["debug_info","cache_load_result"],"long_name":"hit","short_name":"hit"}]</v>
      </c>
      <c r="K59" s="9" t="b">
        <f t="shared" si="91"/>
        <v>1</v>
      </c>
      <c r="L59" s="8" t="b">
        <f t="shared" si="4"/>
        <v>0</v>
      </c>
      <c r="M59" s="10" t="b">
        <v>1</v>
      </c>
      <c r="N59" s="8">
        <f t="shared" si="92"/>
        <v>34.3852912</v>
      </c>
      <c r="O59" s="8">
        <f t="shared" si="93"/>
        <v>109.2578774</v>
      </c>
      <c r="P59" s="8" t="str">
        <f t="shared" si="94"/>
        <v>Xi An Shi</v>
      </c>
      <c r="Q59" s="8" t="str">
        <f t="shared" si="95"/>
        <v>Shaanxi</v>
      </c>
      <c r="R59" s="8" t="str">
        <f t="shared" si="96"/>
        <v>710608</v>
      </c>
      <c r="S59" s="8" t="str">
        <f t="shared" si="97"/>
        <v>China</v>
      </c>
      <c r="T59" s="11" t="str">
        <f t="shared" si="98"/>
        <v>Not Driveable</v>
      </c>
      <c r="U59" s="12" t="str">
        <f t="shared" si="99"/>
        <v>Not Driveable</v>
      </c>
      <c r="V59" s="13">
        <f t="shared" si="100"/>
        <v>5934.793766</v>
      </c>
      <c r="X59" s="4" t="str">
        <f t="shared" si="5"/>
        <v>N/A</v>
      </c>
      <c r="Y59" s="4"/>
      <c r="Z59" s="4" t="s">
        <v>38</v>
      </c>
      <c r="AB59" s="14" t="s">
        <v>69</v>
      </c>
    </row>
    <row r="60">
      <c r="A60" s="3" t="s">
        <v>180</v>
      </c>
      <c r="B60" s="4" t="s">
        <v>268</v>
      </c>
      <c r="C60" s="4"/>
      <c r="D60" s="4"/>
      <c r="E60" s="3" t="s">
        <v>43</v>
      </c>
      <c r="F60" s="4" t="s">
        <v>269</v>
      </c>
      <c r="G60" s="6" t="str">
        <f t="shared" si="1"/>
        <v>Link</v>
      </c>
      <c r="H60" s="3" t="s">
        <v>92</v>
      </c>
      <c r="I60" s="8" t="str">
        <f t="shared" si="2"/>
        <v>{"address_components":[{"long_name":"19","short_name":"19","types":["street_number"]},{"types":["route"],"long_name":"Kiilopääntie","short_name":"Kiilopääntie"},{"short_name":"Sodankylä","types":["administrative_area_level_3","political"],"long_name":"Sodankylä"},{"long_name":"Pohjois-Lappi","types":["administrative_area_level_2","political"],"short_name":"Pohjois-Lappi"},{"types":["administrative_area_level_1","political"],"long_name":"Lappi","short_name":"Lappi"},{"short_name":"FI","types":["country","political"],"long_name":"Finland"},{"short_name":"99830","types":["postal_code"],"long_name":"99830"},{"long_name":"19","short_name":"19","types":["street_number"]},{"short_name":"Kiilopääntie","types":["route"],"long_name":"Kiilopääntie"},{"long_name":"Sodankylä","short_name":"Sodankylä","types":["administrative_area_level_3","political"]},{"short_name":"Pohjois-Lappi","types":["administrative_area_level_2","political"],"long_name":"Pohjois-Lappi"},{"types":["administrative_area_level_1","political"],"long_name":"Lappi","short_name":"Lappi"},{"types":["country","political"],"long_name":"Finland","short_name":"FI"},{"long_name":"99830","types":["postal_code"],"short_name":"99830"},{"types":["latitude"],"long_name":68.3345524,"short_name":68.3345524},{"types":["longitude"],"long_name":27.33763,"short_name":27.33763}],"duration_from":{"days":{"driving":{"2116 4th Ave, Seattle, WA, 98121":"GOOGLE_MAPS_ERROR_CACHED - No route found!"}}},"distance_from":{"mi":{"flying":{"2116 4th Ave, Seattle, WA, 98121":4274.18755514683},"driving":{"2116 4th Ave, Seattle, WA, 98121":"GOOGLE_MAPS_ERROR_CACHED - No route found!"}}}}</v>
      </c>
      <c r="J60" s="8" t="str">
        <f t="shared" si="3"/>
        <v>[{"long_name":"19","short_name":"19","types":["street_number"]},{"types":["route"],"long_name":"Kiilopääntie","short_name":"Kiilopääntie"},{"short_name":"Sodankylä","types":["administrative_area_level_3","political"],"long_name":"Sodankylä"},{"long_name":"Pohjois-Lappi","types":["administrative_area_level_2","political"],"short_name":"Pohjois-Lappi"},{"types":["administrative_area_level_1","political"],"long_name":"Lappi","short_name":"Lappi"},{"short_name":"FI","types":["country","political"],"long_name":"Finland"},{"short_name":"99830","types":["postal_code"],"long_name":"99830"},{"long_name":"19","short_name":"19","types":["street_number"]},{"short_name":"Kiilopääntie","types":["route"],"long_name":"Kiilopääntie"},{"long_name":"Sodankylä","short_name":"Sodankylä","types":["administrative_area_level_3","political"]},{"short_name":"Pohjois-Lappi","types":["administrative_area_level_2","political"],"long_name":"Pohjois-Lappi"},{"types":["administrative_area_level_1","political"],"long_name":"Lappi","short_name":"Lappi"},{"types":["country","political"],"long_name":"Finland","short_name":"FI"},{"long_name":"99830","types":["postal_code"],"short_name":"99830"},{"types":["latitude"],"long_name":68.3345524,"short_name":68.3345524},{"types":["longitude"],"long_name":27.33763,"short_name":27.33763},{"types":["debug_info","cache_load_result"],"long_name":"hit","short_name":"hit"}]</v>
      </c>
      <c r="K60" s="9" t="b">
        <f t="shared" si="91"/>
        <v>1</v>
      </c>
      <c r="L60" s="8" t="b">
        <f t="shared" si="4"/>
        <v>0</v>
      </c>
      <c r="M60" s="10" t="b">
        <v>1</v>
      </c>
      <c r="N60" s="8">
        <f t="shared" si="92"/>
        <v>68.3345524</v>
      </c>
      <c r="O60" s="8">
        <f t="shared" si="93"/>
        <v>27.33763</v>
      </c>
      <c r="P60" s="8" t="str">
        <f t="shared" si="94"/>
        <v>Inari</v>
      </c>
      <c r="Q60" s="8" t="str">
        <f t="shared" si="95"/>
        <v>Lappi</v>
      </c>
      <c r="R60" s="8" t="str">
        <f t="shared" si="96"/>
        <v>99830</v>
      </c>
      <c r="S60" s="8" t="str">
        <f t="shared" si="97"/>
        <v>Finland</v>
      </c>
      <c r="T60" s="11" t="str">
        <f t="shared" si="98"/>
        <v>Not Driveable</v>
      </c>
      <c r="U60" s="12" t="str">
        <f t="shared" si="99"/>
        <v>Not Driveable</v>
      </c>
      <c r="V60" s="13">
        <f t="shared" si="100"/>
        <v>4274.187555</v>
      </c>
      <c r="X60" s="4" t="str">
        <f t="shared" si="5"/>
        <v>N/A</v>
      </c>
      <c r="Y60" s="4"/>
      <c r="Z60" s="4" t="s">
        <v>38</v>
      </c>
    </row>
    <row r="61">
      <c r="A61" s="3" t="s">
        <v>180</v>
      </c>
      <c r="B61" s="4" t="s">
        <v>270</v>
      </c>
      <c r="C61" s="4"/>
      <c r="D61" s="4"/>
      <c r="E61" s="5"/>
      <c r="F61" s="4" t="s">
        <v>270</v>
      </c>
      <c r="G61" s="6" t="str">
        <f t="shared" si="1"/>
        <v>Link</v>
      </c>
      <c r="H61" s="3" t="s">
        <v>37</v>
      </c>
      <c r="I61" s="8" t="str">
        <f t="shared" si="2"/>
        <v>{"address_components":[{"long_name":"Shetland Islands","short_name":"Shetland Islands","types":["administrative_area_level_2","political"]},{"short_name":"Scotland","types":["administrative_area_level_1","political"],"long_name":"Scotland"},{"short_name":"GB","long_name":"United Kingdom","types":["country","political"]},{"types":["plus_code"],"long_name":"8QCH+G6","short_name":"8QCH+G6"},{"short_name":"Dury","long_name":"Dury","types":["locality","political"]},{"long_name":"Shetland","types":["postal_town"],"short_name":"Shetland"},{"types":["administrative_area_level_2","political"],"short_name":"Shetland Islands","long_name":"Shetland Islands"},{"types":["administrative_area_level_1","political"],"long_name":"Scotland","short_name":"Scotland"},{"long_name":"United Kingdom","types":["country","political"],"short_name":"GB"},{"long_name":"ZE2 9PR","types":["postal_code"],"short_name":"ZE2 9PR"},{"types":["latitude"],"long_name":60.3213009,"short_name":60.3213009},{"types":["longitude"],"long_name":-1.221926,"short_name":-1.221926}],"distance_from":{"mi":{"driving":{"2116 4th Ave, Seattle, WA, 98121":"GOOGLE_MAPS_ERROR_CACHED - No route found!"},"flying":{"2116 4th Ave, Seattle, WA, 98121":4284.913691326879}}},"duration_from":{"days":{"driving":{"2116 4th Ave, Seattle, WA, 98121":"GOOGLE_MAPS_ERROR_CACHED - No route found!"}}}}</v>
      </c>
      <c r="J61" s="8" t="str">
        <f t="shared" si="3"/>
        <v>[{"long_name":"Shetland Islands","short_name":"Shetland Islands","types":["administrative_area_level_2","political"]},{"short_name":"Scotland","types":["administrative_area_level_1","political"],"long_name":"Scotland"},{"short_name":"GB","long_name":"United Kingdom","types":["country","political"]},{"types":["plus_code"],"long_name":"8QCH+G6","short_name":"8QCH+G6"},{"short_name":"Dury","long_name":"Dury","types":["locality","political"]},{"long_name":"Shetland","types":["postal_town"],"short_name":"Shetland"},{"types":["administrative_area_level_2","political"],"short_name":"Shetland Islands","long_name":"Shetland Islands"},{"types":["administrative_area_level_1","political"],"long_name":"Scotland","short_name":"Scotland"},{"long_name":"United Kingdom","types":["country","political"],"short_name":"GB"},{"long_name":"ZE2 9PR","types":["postal_code"],"short_name":"ZE2 9PR"},{"types":["latitude"],"long_name":60.3213009,"short_name":60.3213009},{"types":["longitude"],"long_name":-1.221926,"short_name":-1.221926},{"types":["debug_info","cache_load_result"],"long_name":"hit","short_name":"hit"}]</v>
      </c>
      <c r="K61" s="9" t="b">
        <f t="shared" si="91"/>
        <v>1</v>
      </c>
      <c r="L61" s="8" t="b">
        <f t="shared" si="4"/>
        <v>0</v>
      </c>
      <c r="M61" s="10" t="b">
        <v>1</v>
      </c>
      <c r="N61" s="8">
        <f t="shared" si="92"/>
        <v>60.3213009</v>
      </c>
      <c r="O61" s="8">
        <f t="shared" si="93"/>
        <v>-1.221926</v>
      </c>
      <c r="P61" s="8" t="str">
        <f t="shared" si="94"/>
        <v>Dury</v>
      </c>
      <c r="Q61" s="8" t="str">
        <f t="shared" si="95"/>
        <v>Scotland</v>
      </c>
      <c r="R61" s="8" t="str">
        <f t="shared" si="96"/>
        <v>ZE2 9PR</v>
      </c>
      <c r="S61" s="8" t="str">
        <f t="shared" si="97"/>
        <v>United Kingdom</v>
      </c>
      <c r="T61" s="11" t="str">
        <f t="shared" si="98"/>
        <v>Not Driveable</v>
      </c>
      <c r="U61" s="12" t="str">
        <f t="shared" si="99"/>
        <v>Not Driveable</v>
      </c>
      <c r="V61" s="13">
        <f t="shared" si="100"/>
        <v>4284.913691</v>
      </c>
      <c r="W61" s="4"/>
      <c r="X61" s="4" t="str">
        <f t="shared" si="5"/>
        <v>N/A</v>
      </c>
      <c r="Y61" s="4"/>
      <c r="Z61" s="4" t="s">
        <v>38</v>
      </c>
    </row>
    <row r="62">
      <c r="A62" s="3" t="s">
        <v>180</v>
      </c>
      <c r="B62" s="4" t="s">
        <v>271</v>
      </c>
      <c r="C62" s="4"/>
      <c r="D62" s="4"/>
      <c r="E62" s="5"/>
      <c r="F62" s="4" t="s">
        <v>272</v>
      </c>
      <c r="G62" s="6" t="str">
        <f t="shared" si="1"/>
        <v>Link</v>
      </c>
      <c r="H62" s="3" t="s">
        <v>37</v>
      </c>
      <c r="I62" s="8" t="str">
        <f t="shared" si="2"/>
        <v>{"address_components":[{"long_name":"Orkney","types":["archipelago","establishment","natural_feature"],"short_name":"Orkney"},{"long_name":"Scotland","types":["administrative_area_level_1","political"],"short_name":"Scotland"},{"short_name":"GB","types":["country","political"],"long_name":"United Kingdom"},{"types":[],"long_name":"12macaudy","short_name":""},{"long_name":"Orkney","types":["postal_town"],"short_name":"Orkney"},{"short_name":"Orkney","types":["administrative_area_level_2","political"],"long_name":"Orkney"},{"types":["administrative_area_level_1","political"],"long_name":"Scotland","short_name":"Scotland"},{"long_name":"United Kingdom","types":["country","political"],"short_name":"GB"},{"long_name":"KW17 2DY","types":["postal_code"],"short_name":"KW17 2DY"},{"types":["latitude"],"long_name":59.03629,"short_name":59.03629},{"types":["longitude"],"long_name":-2.8970293,"short_name":-2.8970293}]}</v>
      </c>
      <c r="J62" s="8" t="str">
        <f t="shared" si="3"/>
        <v>[{"long_name":"Orkney","types":["archipelago","establishment","natural_feature"],"short_name":"Orkney"},{"long_name":"Scotland","types":["administrative_area_level_1","political"],"short_name":"Scotland"},{"short_name":"GB","types":["country","political"],"long_name":"United Kingdom"},{"types":[],"long_name":"12macaudy","short_name":""},{"long_name":"Orkney","types":["postal_town"],"short_name":"Orkney"},{"short_name":"Orkney","types":["administrative_area_level_2","political"],"long_name":"Orkney"},{"types":["administrative_area_level_1","political"],"long_name":"Scotland","short_name":"Scotland"},{"long_name":"United Kingdom","types":["country","political"],"short_name":"GB"},{"long_name":"KW17 2DY","types":["postal_code"],"short_name":"KW17 2DY"},{"types":["latitude"],"long_name":59.03629,"short_name":59.03629},{"types":["longitude"],"long_name":-2.8970293,"short_name":-2.8970293},{"types":["debug_info","cache_load_result"],"long_name":"hit","short_name":"hit"}]</v>
      </c>
      <c r="K62" s="9" t="b">
        <f t="shared" ref="K62:K63" si="101">NOT(AND(NOT(_xlfn.ISFORMULA(P62)),AND(NOT(_xlfn.ISFORMULA(Q62)),AND(NOT(_xlfn.ISFORMULA(R62)),AND(NOT(_xlfn.ISFORMULA(S62)),AND(NOT(_xlfn.ISFORMULA(T62)),AND(NOT(_xlfn.ISFORMULA(U62)),AND(NOT(_xlfn.ISFORMULA(V62)),AND(NOT(_xlfn.ISFORMULA(N62)),NOT(_xlfn.ISFORMULA(O62)))))))))))</f>
        <v>0</v>
      </c>
      <c r="L62" s="8" t="b">
        <f t="shared" si="4"/>
        <v>1</v>
      </c>
      <c r="M62" s="10" t="b">
        <v>1</v>
      </c>
      <c r="N62" s="10">
        <v>58.936601</v>
      </c>
      <c r="O62" s="10">
        <v>-2.743876</v>
      </c>
      <c r="P62" s="10" t="s">
        <v>271</v>
      </c>
      <c r="Q62" s="10" t="s">
        <v>273</v>
      </c>
      <c r="R62" s="10" t="s">
        <v>274</v>
      </c>
      <c r="S62" s="10" t="s">
        <v>64</v>
      </c>
      <c r="T62" s="19" t="s">
        <v>56</v>
      </c>
      <c r="U62" s="20" t="s">
        <v>56</v>
      </c>
      <c r="V62" s="18">
        <v>4322.12</v>
      </c>
      <c r="W62" s="4"/>
      <c r="X62" s="4" t="str">
        <f t="shared" si="5"/>
        <v>N/A</v>
      </c>
      <c r="Y62" s="4"/>
      <c r="Z62" s="4" t="s">
        <v>38</v>
      </c>
      <c r="AA62" s="4" t="s">
        <v>275</v>
      </c>
    </row>
    <row r="63">
      <c r="A63" s="3" t="s">
        <v>180</v>
      </c>
      <c r="B63" s="4" t="s">
        <v>276</v>
      </c>
      <c r="C63" s="4"/>
      <c r="D63" s="4"/>
      <c r="E63" s="3" t="s">
        <v>43</v>
      </c>
      <c r="F63" s="4" t="s">
        <v>277</v>
      </c>
      <c r="G63" s="6" t="str">
        <f t="shared" si="1"/>
        <v>Link</v>
      </c>
      <c r="H63" s="3" t="s">
        <v>92</v>
      </c>
      <c r="I63" s="8" t="str">
        <f t="shared" si="2"/>
        <v>{"address_components":[{"long_name":"3","types":["street_number"],"short_name":"3"},{"short_name":"Lumilinnankatu","types":["route"],"long_name":"Lumilinnankatu"},{"long_name":"Kemi","types":["locality","political"],"short_name":"Kemi"},{"short_name":"Kemi","types":["administrative_area_level_3","political"],"long_name":"Kemi"},{"short_name":"Kemi-Tornio","types":["administrative_area_level_2","political"],"long_name":"Kemi-Tornio"},{"short_name":"Lappi","long_name":"Lappi","types":["administrative_area_level_1","political"]},{"types":["country","political"],"long_name":"Finland","short_name":"FI"},{"short_name":"94100","types":["postal_code"],"long_name":"94100"},{"short_name":"13","types":["street_number"],"long_name":"13"},{"long_name":"Lumilinnankatu","types":["route"],"short_name":"Lumilinnankatu"},{"types":["locality","political"],"long_name":"Kemi","short_name":"Kemi"},{"long_name":"Kemi","types":["administrative_area_level_3","political"],"short_name":"Kemi"},{"short_name":"Kemi-Tornio","types":["administrative_area_level_2","political"],"long_name":"Kemi-Tornio"},{"short_name":"Lappi","long_name":"Lappi","types":["administrative_area_level_1","political"]},{"short_name":"FI","types":["country","political"],"long_name":"Finland"},{"short_name":"94100","long_name":"94100","types":["postal_code"]},{"types":["latitude"],"long_name":65.727909,"short_name":65.727909},{"types":["longitude"],"long_name":24.5661854,"short_name":24.5661854}]}</v>
      </c>
      <c r="J63" s="8" t="str">
        <f t="shared" si="3"/>
        <v>[{"long_name":"3","types":["street_number"],"short_name":"3"},{"short_name":"Lumilinnankatu","types":["route"],"long_name":"Lumilinnankatu"},{"long_name":"Kemi","types":["locality","political"],"short_name":"Kemi"},{"short_name":"Kemi","types":["administrative_area_level_3","political"],"long_name":"Kemi"},{"short_name":"Kemi-Tornio","types":["administrative_area_level_2","political"],"long_name":"Kemi-Tornio"},{"short_name":"Lappi","long_name":"Lappi","types":["administrative_area_level_1","political"]},{"types":["country","political"],"long_name":"Finland","short_name":"FI"},{"short_name":"94100","types":["postal_code"],"long_name":"94100"},{"short_name":"13","types":["street_number"],"long_name":"13"},{"long_name":"Lumilinnankatu","types":["route"],"short_name":"Lumilinnankatu"},{"types":["locality","political"],"long_name":"Kemi","short_name":"Kemi"},{"long_name":"Kemi","types":["administrative_area_level_3","political"],"short_name":"Kemi"},{"short_name":"Kemi-Tornio","types":["administrative_area_level_2","political"],"long_name":"Kemi-Tornio"},{"short_name":"Lappi","long_name":"Lappi","types":["administrative_area_level_1","political"]},{"short_name":"FI","types":["country","political"],"long_name":"Finland"},{"short_name":"94100","long_name":"94100","types":["postal_code"]},{"types":["latitude"],"long_name":65.727909,"short_name":65.727909},{"types":["longitude"],"long_name":24.5661854,"short_name":24.5661854},{"types":["debug_info","cache_load_result"],"long_name":"hit","short_name":"hit"}]</v>
      </c>
      <c r="K63" s="9" t="b">
        <f t="shared" si="101"/>
        <v>0</v>
      </c>
      <c r="L63" s="8" t="b">
        <f t="shared" si="4"/>
        <v>1</v>
      </c>
      <c r="M63" s="10" t="b">
        <v>1</v>
      </c>
      <c r="N63" s="10">
        <v>65.7268466</v>
      </c>
      <c r="O63" s="10">
        <v>24.5679176</v>
      </c>
      <c r="P63" s="10" t="s">
        <v>278</v>
      </c>
      <c r="Q63" s="10" t="s">
        <v>55</v>
      </c>
      <c r="R63" s="10">
        <v>94720.0</v>
      </c>
      <c r="S63" s="10" t="s">
        <v>279</v>
      </c>
      <c r="T63" s="19" t="s">
        <v>56</v>
      </c>
      <c r="U63" s="20" t="s">
        <v>56</v>
      </c>
      <c r="V63" s="18">
        <v>4409.73</v>
      </c>
      <c r="X63" s="4" t="str">
        <f t="shared" si="5"/>
        <v>N/A</v>
      </c>
      <c r="Y63" s="4"/>
      <c r="Z63" s="4" t="s">
        <v>38</v>
      </c>
    </row>
    <row r="64">
      <c r="A64" s="3" t="s">
        <v>180</v>
      </c>
      <c r="B64" s="4" t="s">
        <v>280</v>
      </c>
      <c r="C64" s="4" t="s">
        <v>281</v>
      </c>
      <c r="D64" s="4" t="s">
        <v>282</v>
      </c>
      <c r="E64" s="3" t="s">
        <v>147</v>
      </c>
      <c r="F64" s="4" t="s">
        <v>280</v>
      </c>
      <c r="G64" s="6" t="str">
        <f t="shared" si="1"/>
        <v>Link</v>
      </c>
      <c r="H64" s="5"/>
      <c r="I64" s="8" t="str">
        <f t="shared" si="2"/>
        <v>{"distance_from":{"mi":{"driving":{"2116 4th Ave, Seattle, WA, 98121":"GOOGLE_MAPS_ERROR_CACHED - No route found!"},"flying":{"2116 4th Ave, Seattle, WA, 98121":4478.25506108094}}},"address_components":[{"long_name":"Norway","types":["country","political"],"short_name":"NO"},{"short_name":"FFC9+RH","types":["plus_code"],"long_name":"FFC9+RH"},{"long_name":"Soere","short_name":"Soere","types":["locality","political"]},{"short_name":"Buskerud","long_name":"Buskerud","types":["administrative_area_level_1","political"]},{"long_name":"Norway","types":["country","political"],"short_name":"NO"},{"types":["latitude"],"long_name":60.47202399999999,"short_name":60.47202399999999},{"types":["longitude"],"long_name":8.468945999999999,"short_name":8.468945999999999}],"duration_from":{"days":{"driving":{"2116 4th Ave, Seattle, WA, 98121":"GOOGLE_MAPS_ERROR_CACHED - No route found!"}}}}</v>
      </c>
      <c r="J64" s="8" t="str">
        <f t="shared" si="3"/>
        <v>[{"long_name":"Norway","types":["country","political"],"short_name":"NO"},{"short_name":"FFC9+RH","types":["plus_code"],"long_name":"FFC9+RH"},{"long_name":"Soere","short_name":"Soere","types":["locality","political"]},{"short_name":"Buskerud","long_name":"Buskerud","types":["administrative_area_level_1","political"]},{"long_name":"Norway","types":["country","political"],"short_name":"NO"},{"types":["latitude"],"long_name":60.47202399999999,"short_name":60.47202399999999},{"types":["longitude"],"long_name":8.468945999999999,"short_name":8.468945999999999},{"types":["debug_info","cache_load_result"],"long_name":"hit","short_name":"hit"}]</v>
      </c>
      <c r="K64" s="9" t="b">
        <f>NOT(AND(NOT(_xlfn.ISFORMULA(P64)),AND(NOT(_xlfn.ISFORMULA(Q64)),AND(NOT(_xlfn.ISFORMULA(R64)),AND(NOT(_xlfn.ISFORMULA(S64)),AND(NOT(_xlfn.ISFORMULA(T64)),AND(NOT(_xlfn.ISFORMULA(U64)),AND(NOT(_xlfn.ISFORMULA(V64))))))))))</f>
        <v>1</v>
      </c>
      <c r="L64" s="8" t="b">
        <f t="shared" si="4"/>
        <v>0</v>
      </c>
      <c r="M64" s="10" t="b">
        <v>1</v>
      </c>
      <c r="N64" s="8">
        <f>GOOGLEMAPS_GET_ADDRESS_LATITUDE(F64,true)</f>
        <v>60.472024</v>
      </c>
      <c r="O64" s="8">
        <f>GOOGLEMAPS_GET_ADDRESS_LONGITUDE(F64,true)</f>
        <v>8.468946</v>
      </c>
      <c r="P64" s="8" t="str">
        <f>GOOGLEMAPS_GET_ADDRESS_CITY(F64,true,false)</f>
        <v>Soere</v>
      </c>
      <c r="Q64" s="8" t="str">
        <f>GOOGLEMAPS_GET_ADDRESS_STATE(F64,true,false)</f>
        <v>Buskerud</v>
      </c>
      <c r="R64" s="8" t="str">
        <f>GOOGLEMAPS_GET_ADDRESS_POSTAL_CODE(F64,false,false)</f>
        <v>UNDEFINED</v>
      </c>
      <c r="S64" s="8" t="str">
        <f>GOOGLEMAPS_GET_ADDRESS_COUNTRY(F64,true,false)</f>
        <v>Norway</v>
      </c>
      <c r="T64" s="11" t="str">
        <f>IFERROR(GOOGLEMAPS_DISTANCE("2116 4th Ave, Seattle, WA, 98121", F64, "driving")+0,"Not Driveable")</f>
        <v>Not Driveable</v>
      </c>
      <c r="U64" s="12" t="str">
        <f>iferror(GOOGLEMAPS_DURATION("2116 4th Ave, Seattle, WA, 98121", F64, "driving")+0,"Not Driveable")</f>
        <v>Not Driveable</v>
      </c>
      <c r="V64" s="13">
        <f>GOOGLEMAPS_DISTANCE("2116 4th Ave, Seattle, WA, 98121", F64, "flying")+0</f>
        <v>4478.255061</v>
      </c>
      <c r="X64" s="4" t="str">
        <f t="shared" si="5"/>
        <v>N/A</v>
      </c>
      <c r="Y64" s="4"/>
      <c r="Z64" s="4" t="s">
        <v>38</v>
      </c>
      <c r="AB64" s="14" t="s">
        <v>69</v>
      </c>
    </row>
    <row r="65">
      <c r="A65" s="3" t="s">
        <v>180</v>
      </c>
      <c r="B65" s="4" t="s">
        <v>283</v>
      </c>
      <c r="C65" s="4"/>
      <c r="D65" s="4"/>
      <c r="E65" s="5"/>
      <c r="F65" s="4" t="s">
        <v>284</v>
      </c>
      <c r="G65" s="6" t="str">
        <f t="shared" si="1"/>
        <v>Link</v>
      </c>
      <c r="H65" s="3" t="s">
        <v>37</v>
      </c>
      <c r="I65" s="8" t="str">
        <f t="shared" si="2"/>
        <v>{"address_components":[{"long_name":"Mount Roraima","short_name":"Mt Roraima","types":["establishment","natural_feature"]},{"long_name":"67QX46JR+JH","short_name":"67QX46JR+JH","types":["plus_code"]},{"types":["latitude"],"long_name":5.1315566,"short_name":5.1315566},{"types":["longitude"],"long_name":-60.75854880000001,"short_name":-60.75854880000001}]}</v>
      </c>
      <c r="J65" s="8" t="str">
        <f t="shared" si="3"/>
        <v>[{"long_name":"Mount Roraima","short_name":"Mt Roraima","types":["establishment","natural_feature"]},{"long_name":"67QX46JR+JH","short_name":"67QX46JR+JH","types":["plus_code"]},{"types":["latitude"],"long_name":5.1315566,"short_name":5.1315566},{"types":["longitude"],"long_name":-60.75854880000001,"short_name":-60.75854880000001},{"types":["debug_info","cache_load_result"],"long_name":"hit","short_name":"hit"}]</v>
      </c>
      <c r="K65" s="9" t="b">
        <f>NOT(AND(NOT(_xlfn.ISFORMULA(P65)),AND(NOT(_xlfn.ISFORMULA(Q65)),AND(NOT(_xlfn.ISFORMULA(R65)),AND(NOT(_xlfn.ISFORMULA(S65)),AND(NOT(_xlfn.ISFORMULA(T65)),AND(NOT(_xlfn.ISFORMULA(U65)),AND(NOT(_xlfn.ISFORMULA(V65)),AND(NOT(_xlfn.ISFORMULA(N65)),NOT(_xlfn.ISFORMULA(O65)))))))))))</f>
        <v>0</v>
      </c>
      <c r="L65" s="8" t="b">
        <f t="shared" si="4"/>
        <v>0</v>
      </c>
      <c r="M65" s="10" t="b">
        <v>1</v>
      </c>
      <c r="N65" s="10">
        <v>5.1315566</v>
      </c>
      <c r="O65" s="10">
        <v>-60.7585488</v>
      </c>
      <c r="P65" s="10" t="s">
        <v>55</v>
      </c>
      <c r="Q65" s="10" t="s">
        <v>55</v>
      </c>
      <c r="R65" s="10" t="s">
        <v>55</v>
      </c>
      <c r="S65" s="10" t="s">
        <v>55</v>
      </c>
      <c r="T65" s="19" t="s">
        <v>56</v>
      </c>
      <c r="U65" s="20" t="s">
        <v>56</v>
      </c>
      <c r="V65" s="18">
        <v>4651.39</v>
      </c>
      <c r="W65" s="4"/>
      <c r="X65" s="4" t="str">
        <f t="shared" si="5"/>
        <v>N/A</v>
      </c>
      <c r="Y65" s="4"/>
      <c r="Z65" s="4" t="s">
        <v>38</v>
      </c>
      <c r="AA65" s="4"/>
      <c r="AB65" s="14" t="s">
        <v>285</v>
      </c>
    </row>
    <row r="66">
      <c r="A66" s="3" t="s">
        <v>180</v>
      </c>
      <c r="B66" s="4" t="s">
        <v>286</v>
      </c>
      <c r="C66" s="4" t="s">
        <v>287</v>
      </c>
      <c r="D66" s="4" t="s">
        <v>288</v>
      </c>
      <c r="E66" s="3" t="s">
        <v>174</v>
      </c>
      <c r="F66" s="4" t="s">
        <v>286</v>
      </c>
      <c r="G66" s="6" t="str">
        <f t="shared" si="1"/>
        <v>Link</v>
      </c>
      <c r="H66" s="3" t="s">
        <v>289</v>
      </c>
      <c r="I66" s="7" t="str">
        <f t="shared" si="2"/>
        <v>{"address_components":[{"long_name":"London","types":["locality","political"],"short_name":"London"},{"long_name":"London","types":["postal_town"],"short_name":"London"},{"long_name":"Greater London","short_name":"Greater London","types":["administrative_area_level_2","political"]},{"types":["administrative_area_level_1","political"],"long_name":"England","short_name":"England"},{"long_name":"United Kingdom","short_name":"GB","types":["country","political"]},{"types":["plus_code"],"long_name":"GV4C+VX","short_name":"GV4C+VX"},{"short_name":"London","long_name":"London","types":["postal_town"]},{"long_name":"Greater London","types":["administrative_area_level_2","political"],"short_name":"Greater London"},{"long_name":"England","types":["administrative_area_level_1","political"],"short_name":"England"},{"long_name":"United Kingdom","types":["country","political"],"short_name":"GB"},{"types":["latitude"],"long_name":51.5072178,"short_name":51.5072178},{"types":["longitude"],"long_name":-0.1275862,"short_name":-0.1275862}],"distance_from":{"mi":{"driving":{"2116 4th Ave, Seattle, WA, 98121":"GOOGLE_MAPS_ERROR_CACHED - No route found!"},"flying":{"2116 4th Ave, Seattle, WA, 98121":4784.104042651025}}},"duration_from":{"days":{"driving":{"2116 4th Ave, Seattle, WA, 98121":"GOOGLE_MAPS_ERROR_CACHED - No route found!"}}}}</v>
      </c>
      <c r="J66" s="8" t="str">
        <f t="shared" si="3"/>
        <v>[{"long_name":"London","types":["locality","political"],"short_name":"London"},{"long_name":"London","types":["postal_town"],"short_name":"London"},{"long_name":"Greater London","short_name":"Greater London","types":["administrative_area_level_2","political"]},{"types":["administrative_area_level_1","political"],"long_name":"England","short_name":"England"},{"long_name":"United Kingdom","short_name":"GB","types":["country","political"]},{"types":["plus_code"],"long_name":"GV4C+VX","short_name":"GV4C+VX"},{"short_name":"London","long_name":"London","types":["postal_town"]},{"long_name":"Greater London","types":["administrative_area_level_2","political"],"short_name":"Greater London"},{"long_name":"England","types":["administrative_area_level_1","political"],"short_name":"England"},{"long_name":"United Kingdom","types":["country","political"],"short_name":"GB"},{"types":["latitude"],"long_name":51.5072178,"short_name":51.5072178},{"types":["longitude"],"long_name":-0.1275862,"short_name":-0.1275862},{"types":["debug_info","cache_load_result"],"long_name":"hit","short_name":"hit"}]</v>
      </c>
      <c r="K66" s="9" t="b">
        <f t="shared" ref="K66:K68" si="102">NOT(AND(NOT(_xlfn.ISFORMULA(P66)),AND(NOT(_xlfn.ISFORMULA(Q66)),AND(NOT(_xlfn.ISFORMULA(R66)),AND(NOT(_xlfn.ISFORMULA(S66)),AND(NOT(_xlfn.ISFORMULA(T66)),AND(NOT(_xlfn.ISFORMULA(U66)),AND(NOT(_xlfn.ISFORMULA(V66))))))))))</f>
        <v>1</v>
      </c>
      <c r="L66" s="8" t="b">
        <f t="shared" si="4"/>
        <v>1</v>
      </c>
      <c r="M66" s="10" t="b">
        <v>1</v>
      </c>
      <c r="N66" s="8">
        <f t="shared" ref="N66:N68" si="103">GOOGLEMAPS_GET_ADDRESS_LATITUDE(F66,true)</f>
        <v>51.5072178</v>
      </c>
      <c r="O66" s="8">
        <f t="shared" ref="O66:O68" si="104">GOOGLEMAPS_GET_ADDRESS_LONGITUDE(F66,true)</f>
        <v>-0.1275862</v>
      </c>
      <c r="P66" s="8" t="str">
        <f t="shared" ref="P66:P68" si="105">GOOGLEMAPS_GET_ADDRESS_CITY(F66,true,false)</f>
        <v>London</v>
      </c>
      <c r="Q66" s="8" t="str">
        <f t="shared" ref="Q66:Q68" si="106">GOOGLEMAPS_GET_ADDRESS_STATE(F66,true,false)</f>
        <v>England</v>
      </c>
      <c r="R66" s="8" t="str">
        <f t="shared" ref="R66:R68" si="107">GOOGLEMAPS_GET_ADDRESS_POSTAL_CODE(F66,false,false)</f>
        <v>UNDEFINED</v>
      </c>
      <c r="S66" s="8" t="str">
        <f t="shared" ref="S66:S68" si="108">GOOGLEMAPS_GET_ADDRESS_COUNTRY(F66,true,false)</f>
        <v>United Kingdom</v>
      </c>
      <c r="T66" s="11" t="str">
        <f t="shared" ref="T66:T68" si="109">IFERROR(GOOGLEMAPS_DISTANCE("2116 4th Ave, Seattle, WA, 98121", F66, "driving")+0,"Not Driveable")</f>
        <v>Not Driveable</v>
      </c>
      <c r="U66" s="12" t="str">
        <f t="shared" ref="U66:U68" si="110">iferror(GOOGLEMAPS_DURATION("2116 4th Ave, Seattle, WA, 98121", F66, "driving")+0,"Not Driveable")</f>
        <v>Not Driveable</v>
      </c>
      <c r="V66" s="13">
        <f t="shared" ref="V66:V68" si="111">GOOGLEMAPS_DISTANCE("2116 4th Ave, Seattle, WA, 98121", F66, "flying")+0</f>
        <v>4784.104043</v>
      </c>
      <c r="X66" s="4" t="str">
        <f t="shared" si="5"/>
        <v>N/A</v>
      </c>
      <c r="Y66" s="4"/>
      <c r="Z66" s="4" t="s">
        <v>38</v>
      </c>
      <c r="AB66" s="14" t="s">
        <v>69</v>
      </c>
    </row>
    <row r="67">
      <c r="A67" s="3" t="s">
        <v>180</v>
      </c>
      <c r="B67" s="4" t="s">
        <v>290</v>
      </c>
      <c r="C67" s="4" t="s">
        <v>291</v>
      </c>
      <c r="D67" s="4" t="s">
        <v>292</v>
      </c>
      <c r="E67" s="5"/>
      <c r="F67" s="4" t="s">
        <v>290</v>
      </c>
      <c r="G67" s="6" t="str">
        <f t="shared" si="1"/>
        <v>Link</v>
      </c>
      <c r="H67" s="5"/>
      <c r="I67" s="7" t="str">
        <f t="shared" si="2"/>
        <v>{"distance_from":{"mi":{"driving":{"2116 4th Ave, Seattle, WA, 98121":"GOOGLE_MAPS_ERROR_CACHED - No route found!"},"flying":{"2116 4th Ave, Seattle, WA, 98121":4814.942771570954}}},"address_components":[{"short_name":"Vale do Javari","long_name":"Vale do Javari","types":["political"]},{"short_name":"AM","types":["administrative_area_level_1","political"],"long_name":"Amazonas"},{"long_name":"Brazil","types":["country","political"],"short_name":"BR"},{"long_name":"676C6P76+XF","types":["plus_code"],"short_name":"676C6P76+XF"},{"types":["latitude"],"long_name":-5.7850122,"short_name":-5.7850122},{"types":["longitude"],"long_name":-71.2888297,"short_name":-71.2888297}],"duration_from":{"days":{"driving":{"2116 4th Ave, Seattle, WA, 98121":"GOOGLE_MAPS_ERROR_CACHED - No route found!"}}}}</v>
      </c>
      <c r="J67" s="8" t="str">
        <f t="shared" si="3"/>
        <v>[{"short_name":"Vale do Javari","long_name":"Vale do Javari","types":["political"]},{"short_name":"AM","types":["administrative_area_level_1","political"],"long_name":"Amazonas"},{"long_name":"Brazil","types":["country","political"],"short_name":"BR"},{"long_name":"676C6P76+XF","types":["plus_code"],"short_name":"676C6P76+XF"},{"types":["latitude"],"long_name":-5.7850122,"short_name":-5.7850122},{"types":["longitude"],"long_name":-71.2888297,"short_name":-71.2888297},{"types":["debug_info","cache_load_result"],"long_name":"hit","short_name":"hit"}]</v>
      </c>
      <c r="K67" s="9" t="b">
        <f t="shared" si="102"/>
        <v>1</v>
      </c>
      <c r="L67" s="8" t="b">
        <f t="shared" si="4"/>
        <v>0</v>
      </c>
      <c r="M67" s="10" t="b">
        <v>1</v>
      </c>
      <c r="N67" s="8">
        <f t="shared" si="103"/>
        <v>-5.7850122</v>
      </c>
      <c r="O67" s="8">
        <f t="shared" si="104"/>
        <v>-71.2888297</v>
      </c>
      <c r="P67" s="8" t="str">
        <f t="shared" si="105"/>
        <v>UNDEFINED</v>
      </c>
      <c r="Q67" s="8" t="str">
        <f t="shared" si="106"/>
        <v>Amazonas</v>
      </c>
      <c r="R67" s="8" t="str">
        <f t="shared" si="107"/>
        <v>UNDEFINED</v>
      </c>
      <c r="S67" s="8" t="str">
        <f t="shared" si="108"/>
        <v>Brazil</v>
      </c>
      <c r="T67" s="11" t="str">
        <f t="shared" si="109"/>
        <v>Not Driveable</v>
      </c>
      <c r="U67" s="12" t="str">
        <f t="shared" si="110"/>
        <v>Not Driveable</v>
      </c>
      <c r="V67" s="13">
        <f t="shared" si="111"/>
        <v>4814.942772</v>
      </c>
      <c r="X67" s="4" t="str">
        <f t="shared" si="5"/>
        <v>N/A</v>
      </c>
      <c r="Y67" s="4"/>
      <c r="Z67" s="4" t="s">
        <v>38</v>
      </c>
      <c r="AB67" s="14" t="s">
        <v>69</v>
      </c>
    </row>
    <row r="68">
      <c r="A68" s="3" t="s">
        <v>180</v>
      </c>
      <c r="B68" s="4" t="s">
        <v>293</v>
      </c>
      <c r="D68" s="4" t="s">
        <v>294</v>
      </c>
      <c r="E68" s="5"/>
      <c r="F68" s="4" t="s">
        <v>295</v>
      </c>
      <c r="G68" s="6" t="str">
        <f t="shared" si="1"/>
        <v>Link</v>
      </c>
      <c r="H68" s="5"/>
      <c r="I68" s="7" t="str">
        <f t="shared" si="2"/>
        <v>{"address_components":[{"types":["street_number"],"long_name":"1","short_name":"1"},{"long_name":"L'Abbaye","types":["route"],"short_name":"L'Abbaye"},{"long_name":"Le Mont-Saint-Michel","types":["locality","political"],"short_name":"Le Mont-Saint-Michel"},{"short_name":"Manche","types":["administrative_area_level_2","political"],"long_name":"Manche"},{"types":["administrative_area_level_1","political"],"long_name":"Normandie","short_name":"Normandie"},{"types":["country","political"],"short_name":"FR","long_name":"France"},{"long_name":"50170","types":["postal_code"],"short_name":"50170"},{"types":["street_number"],"short_name":"1","long_name":"1"},{"short_name":"L'Abbaye","types":["route"],"long_name":"L'Abbaye"},{"types":["locality","political"],"short_name":"Le Mont-Saint-Michel","long_name":"Le Mont-Saint-Michel"},{"long_name":"Manche","short_name":"Manche","types":["administrative_area_level_2","political"]},{"long_name":"Normandie","types":["administrative_area_level_1","political"],"short_name":"Normandie"},{"long_name":"France","types":["country","political"],"short_name":"FR"},{"long_name":"50170","types":["postal_code"],"short_name":"50170"},{"types":["latitude"],"long_name":48.6359933,"short_name":48.6359933},{"types":["longitude"],"long_name":-1.5111225,"short_name":-1.5111225}],"duration_from":{"days":{"driving":{"2116 4th Ave, Seattle, WA, 98121":"GOOGLE_MAPS_ERROR_CACHED - No route found!"}}},"distance_from":{"mi":{"driving":{"2116 4th Ave, Seattle, WA, 98121":"GOOGLE_MAPS_ERROR_CACHED - No route found!"},"flying":{"2116 4th Ave, Seattle, WA, 98121":4903.619496190985}}}}</v>
      </c>
      <c r="J68" s="8" t="str">
        <f t="shared" si="3"/>
        <v>[{"types":["street_number"],"long_name":"1","short_name":"1"},{"long_name":"L'Abbaye","types":["route"],"short_name":"L'Abbaye"},{"long_name":"Le Mont-Saint-Michel","types":["locality","political"],"short_name":"Le Mont-Saint-Michel"},{"short_name":"Manche","types":["administrative_area_level_2","political"],"long_name":"Manche"},{"types":["administrative_area_level_1","political"],"long_name":"Normandie","short_name":"Normandie"},{"types":["country","political"],"short_name":"FR","long_name":"France"},{"long_name":"50170","types":["postal_code"],"short_name":"50170"},{"types":["street_number"],"short_name":"1","long_name":"1"},{"short_name":"L'Abbaye","types":["route"],"long_name":"L'Abbaye"},{"types":["locality","political"],"short_name":"Le Mont-Saint-Michel","long_name":"Le Mont-Saint-Michel"},{"long_name":"Manche","short_name":"Manche","types":["administrative_area_level_2","political"]},{"long_name":"Normandie","types":["administrative_area_level_1","political"],"short_name":"Normandie"},{"long_name":"France","types":["country","political"],"short_name":"FR"},{"long_name":"50170","types":["postal_code"],"short_name":"50170"},{"types":["latitude"],"long_name":48.6359933,"short_name":48.6359933},{"types":["longitude"],"long_name":-1.5111225,"short_name":-1.5111225},{"types":["debug_info","cache_load_result"],"long_name":"hit","short_name":"hit"}]</v>
      </c>
      <c r="K68" s="9" t="b">
        <f t="shared" si="102"/>
        <v>1</v>
      </c>
      <c r="L68" s="8" t="b">
        <f t="shared" si="4"/>
        <v>0</v>
      </c>
      <c r="M68" s="10" t="b">
        <v>1</v>
      </c>
      <c r="N68" s="8">
        <f t="shared" si="103"/>
        <v>48.6359933</v>
      </c>
      <c r="O68" s="8">
        <f t="shared" si="104"/>
        <v>-1.5111225</v>
      </c>
      <c r="P68" s="8" t="str">
        <f t="shared" si="105"/>
        <v>Le Mont-Saint-Michel</v>
      </c>
      <c r="Q68" s="8" t="str">
        <f t="shared" si="106"/>
        <v>Normandie</v>
      </c>
      <c r="R68" s="8" t="str">
        <f t="shared" si="107"/>
        <v>50170</v>
      </c>
      <c r="S68" s="8" t="str">
        <f t="shared" si="108"/>
        <v>France</v>
      </c>
      <c r="T68" s="11" t="str">
        <f t="shared" si="109"/>
        <v>Not Driveable</v>
      </c>
      <c r="U68" s="12" t="str">
        <f t="shared" si="110"/>
        <v>Not Driveable</v>
      </c>
      <c r="V68" s="13">
        <f t="shared" si="111"/>
        <v>4903.619496</v>
      </c>
      <c r="X68" s="4" t="str">
        <f t="shared" si="5"/>
        <v>N/A</v>
      </c>
      <c r="Y68" s="4"/>
      <c r="Z68" s="4" t="s">
        <v>38</v>
      </c>
      <c r="AB68" s="14" t="s">
        <v>296</v>
      </c>
    </row>
    <row r="69" hidden="1">
      <c r="A69" s="3" t="s">
        <v>180</v>
      </c>
      <c r="B69" s="4" t="s">
        <v>297</v>
      </c>
      <c r="C69" s="4" t="s">
        <v>298</v>
      </c>
      <c r="D69" s="4"/>
      <c r="E69" s="5"/>
      <c r="F69" s="4" t="s">
        <v>299</v>
      </c>
      <c r="G69" s="6" t="str">
        <f t="shared" si="1"/>
        <v>Link</v>
      </c>
      <c r="H69" s="3" t="s">
        <v>45</v>
      </c>
      <c r="I69" s="8" t="str">
        <f t="shared" si="2"/>
        <v>{"address_components":[{"long_name":"Six Flags Drive","types":["route"],"short_name":"Six Flags Dr"},{"short_name":"Village De L'Est","types":["neighborhood","political"],"long_name":"Village De L'Est"},{"short_name":"New Orleans","types":["locality","political"],"long_name":"New Orleans"},{"types":["administrative_area_level_2","political"],"long_name":"Orleans Parish","short_name":"Orleans Parish"},{"short_name":"LA","types":["administrative_area_level_1","political"],"long_name":"Louisiana"},{"long_name":"United States","short_name":"US","types":["country","political"]},{"long_name":"70129","short_name":"70129","types":["postal_code"]},{"long_name":"5930","short_name":"5930","types":["street_number"]},{"long_name":"Michoud Boulevard","types":["route"],"short_name":"Michoud Blvd"},{"long_name":"Village De L'Est","short_name":"Village De L'Est","types":["neighborhood","political"]},{"types":["locality","political"],"long_name":"New Orleans","short_name":"New Orleans"},{"short_name":"Orleans Parish","long_name":"Orleans Parish","types":["administrative_area_level_2","political"]},{"long_name":"Louisiana","types":["administrative_area_level_1","political"],"short_name":"LA"},{"types":["country","political"],"short_name":"US","long_name":"United States"},{"short_name":"70129","long_name":"70129","types":["postal_code"]},{"types":["latitude"],"long_name":30.0504792,"short_name":30.0504792},{"types":["longitude"],"long_name":-89.9323477,"short_name":-89.9323477}]}</v>
      </c>
      <c r="J69" s="8" t="str">
        <f t="shared" si="3"/>
        <v>[{"long_name":"Six Flags Drive","types":["route"],"short_name":"Six Flags Dr"},{"short_name":"Village De L'Est","types":["neighborhood","political"],"long_name":"Village De L'Est"},{"short_name":"New Orleans","types":["locality","political"],"long_name":"New Orleans"},{"types":["administrative_area_level_2","political"],"long_name":"Orleans Parish","short_name":"Orleans Parish"},{"short_name":"LA","types":["administrative_area_level_1","political"],"long_name":"Louisiana"},{"long_name":"United States","short_name":"US","types":["country","political"]},{"long_name":"70129","short_name":"70129","types":["postal_code"]},{"long_name":"5930","short_name":"5930","types":["street_number"]},{"long_name":"Michoud Boulevard","types":["route"],"short_name":"Michoud Blvd"},{"long_name":"Village De L'Est","short_name":"Village De L'Est","types":["neighborhood","political"]},{"types":["locality","political"],"long_name":"New Orleans","short_name":"New Orleans"},{"short_name":"Orleans Parish","long_name":"Orleans Parish","types":["administrative_area_level_2","political"]},{"long_name":"Louisiana","types":["administrative_area_level_1","political"],"short_name":"LA"},{"types":["country","political"],"short_name":"US","long_name":"United States"},{"short_name":"70129","long_name":"70129","types":["postal_code"]},{"types":["latitude"],"long_name":30.0504792,"short_name":30.0504792},{"types":["longitude"],"long_name":-89.9323477,"short_name":-89.9323477},{"types":["debug_info","cache_load_result"],"long_name":"hit","short_name":"hit"}]</v>
      </c>
      <c r="K69" s="9" t="b">
        <f t="shared" ref="K69:K72" si="112">NOT(AND(NOT(_xlfn.ISFORMULA(P69)),AND(NOT(_xlfn.ISFORMULA(Q69)),AND(NOT(_xlfn.ISFORMULA(R69)),AND(NOT(_xlfn.ISFORMULA(S69)),AND(NOT(_xlfn.ISFORMULA(T69)),AND(NOT(_xlfn.ISFORMULA(U69)),AND(NOT(_xlfn.ISFORMULA(V69)),AND(NOT(_xlfn.ISFORMULA(N69)),NOT(_xlfn.ISFORMULA(O69)))))))))))</f>
        <v>0</v>
      </c>
      <c r="L69" s="8" t="b">
        <f t="shared" si="4"/>
        <v>1</v>
      </c>
      <c r="M69" s="10" t="b">
        <v>1</v>
      </c>
      <c r="N69" s="10">
        <v>29.9510658</v>
      </c>
      <c r="O69" s="10">
        <v>-90.0715323</v>
      </c>
      <c r="P69" s="10" t="s">
        <v>300</v>
      </c>
      <c r="Q69" s="10" t="s">
        <v>301</v>
      </c>
      <c r="R69" s="10">
        <v>70129.0</v>
      </c>
      <c r="S69" s="10" t="s">
        <v>47</v>
      </c>
      <c r="T69" s="19">
        <v>2585.1</v>
      </c>
      <c r="U69" s="32">
        <v>1.6325694444444445</v>
      </c>
      <c r="V69" s="18">
        <v>2100.57</v>
      </c>
      <c r="W69" s="4"/>
      <c r="X69" s="4" t="str">
        <f t="shared" si="5"/>
        <v>N/A</v>
      </c>
      <c r="Y69" s="4"/>
      <c r="Z69" s="4" t="s">
        <v>38</v>
      </c>
      <c r="AB69" s="14" t="s">
        <v>302</v>
      </c>
      <c r="AF69" s="4" t="s">
        <v>303</v>
      </c>
    </row>
    <row r="70" hidden="1">
      <c r="A70" s="3" t="s">
        <v>180</v>
      </c>
      <c r="B70" s="4" t="s">
        <v>304</v>
      </c>
      <c r="C70" s="4" t="s">
        <v>305</v>
      </c>
      <c r="D70" s="4"/>
      <c r="E70" s="5"/>
      <c r="F70" s="4" t="s">
        <v>306</v>
      </c>
      <c r="G70" s="6" t="str">
        <f t="shared" si="1"/>
        <v>Link</v>
      </c>
      <c r="H70" s="3" t="s">
        <v>45</v>
      </c>
      <c r="I70" s="8" t="str">
        <f t="shared" si="2"/>
        <v>{"address_components":[{"long_name":"Norway","short_name":"NO","types":["country","political"]},{"types":["plus_code"],"long_name":"FFC9+RH","short_name":"FFC9+RH"},{"long_name":"Soere","short_name":"Soere","types":["locality","political"]},{"short_name":"Buskerud","types":["administrative_area_level_1","political"],"long_name":"Buskerud"},{"long_name":"Norway","short_name":"NO","types":["country","political"]},{"types":["latitude"],"long_name":60.47202399999999,"short_name":60.47202399999999},{"types":["longitude"],"long_name":8.468945999999999,"short_name":8.468945999999999}]}</v>
      </c>
      <c r="J70" s="8" t="str">
        <f t="shared" si="3"/>
        <v>[{"long_name":"Norway","short_name":"NO","types":["country","political"]},{"types":["plus_code"],"long_name":"FFC9+RH","short_name":"FFC9+RH"},{"long_name":"Soere","short_name":"Soere","types":["locality","political"]},{"short_name":"Buskerud","types":["administrative_area_level_1","political"],"long_name":"Buskerud"},{"long_name":"Norway","short_name":"NO","types":["country","political"]},{"types":["latitude"],"long_name":60.47202399999999,"short_name":60.47202399999999},{"types":["longitude"],"long_name":8.468945999999999,"short_name":8.468945999999999},{"types":["debug_info","cache_load_result"],"long_name":"hit","short_name":"hit"}]</v>
      </c>
      <c r="K70" s="9" t="b">
        <f t="shared" si="112"/>
        <v>0</v>
      </c>
      <c r="L70" s="8" t="b">
        <f t="shared" si="4"/>
        <v>1</v>
      </c>
      <c r="M70" s="10" t="b">
        <v>1</v>
      </c>
      <c r="N70" s="10">
        <v>78.6560711</v>
      </c>
      <c r="O70" s="10">
        <v>16.3448851</v>
      </c>
      <c r="P70" s="10" t="s">
        <v>304</v>
      </c>
      <c r="Q70" s="10" t="s">
        <v>85</v>
      </c>
      <c r="R70" s="10">
        <v>9170.0</v>
      </c>
      <c r="S70" s="10" t="s">
        <v>307</v>
      </c>
      <c r="T70" s="19" t="s">
        <v>56</v>
      </c>
      <c r="U70" s="20" t="s">
        <v>56</v>
      </c>
      <c r="V70" s="18">
        <v>3547.76</v>
      </c>
      <c r="X70" s="4" t="str">
        <f t="shared" si="5"/>
        <v>N/A</v>
      </c>
      <c r="Y70" s="4"/>
      <c r="Z70" s="4" t="s">
        <v>38</v>
      </c>
      <c r="AE70" s="4" t="s">
        <v>308</v>
      </c>
      <c r="AF70" s="4" t="s">
        <v>309</v>
      </c>
    </row>
    <row r="71">
      <c r="A71" s="3" t="s">
        <v>180</v>
      </c>
      <c r="B71" s="4" t="s">
        <v>310</v>
      </c>
      <c r="C71" s="4" t="s">
        <v>311</v>
      </c>
      <c r="D71" s="4"/>
      <c r="E71" s="5"/>
      <c r="F71" s="4" t="s">
        <v>312</v>
      </c>
      <c r="G71" s="6" t="str">
        <f t="shared" si="1"/>
        <v>Link</v>
      </c>
      <c r="H71" s="3" t="s">
        <v>45</v>
      </c>
      <c r="I71" s="8" t="str">
        <f t="shared" si="2"/>
        <v>{"address_components":[{"short_name":"Bechevinka","types":["locality","political"],"long_name":"Bechevinka"},{"long_name":"Belozersky District","types":["administrative_area_level_2","political"],"short_name":"Belozersky District"},{"types":["administrative_area_level_1","political"],"long_name":"Vologda Oblast","short_name":"Vologda Oblast"},{"long_name":"Russia","short_name":"RU","types":["country","political"]},{"long_name":"161216","short_name":"161216","types":["postal_code"]},{"long_name":"PMPG+6V","short_name":"PMPG+6V","types":["plus_code"]},{"long_name":"Bechevinka","short_name":"Bechevinka","types":["locality","political"]},{"long_name":"Belozersky District","short_name":"Belozersky District","types":["administrative_area_level_2","political"]},{"short_name":"Vologda Oblast","types":["administrative_area_level_1","political"],"long_name":"Vologda Oblast"},{"short_name":"RU","long_name":"Russia","types":["country","political"]},{"types":["postal_code"],"long_name":"161216","short_name":"161216"},{"types":["latitude"],"long_name":59.7355969,"short_name":59.7355969},{"types":["longitude"],"long_name":37.6771264,"short_name":37.6771264}]}</v>
      </c>
      <c r="J71" s="8" t="str">
        <f t="shared" si="3"/>
        <v>[{"short_name":"Bechevinka","types":["locality","political"],"long_name":"Bechevinka"},{"long_name":"Belozersky District","types":["administrative_area_level_2","political"],"short_name":"Belozersky District"},{"types":["administrative_area_level_1","political"],"long_name":"Vologda Oblast","short_name":"Vologda Oblast"},{"long_name":"Russia","short_name":"RU","types":["country","political"]},{"long_name":"161216","short_name":"161216","types":["postal_code"]},{"long_name":"PMPG+6V","short_name":"PMPG+6V","types":["plus_code"]},{"long_name":"Bechevinka","short_name":"Bechevinka","types":["locality","political"]},{"long_name":"Belozersky District","short_name":"Belozersky District","types":["administrative_area_level_2","political"]},{"short_name":"Vologda Oblast","types":["administrative_area_level_1","political"],"long_name":"Vologda Oblast"},{"short_name":"RU","long_name":"Russia","types":["country","political"]},{"types":["postal_code"],"long_name":"161216","short_name":"161216"},{"types":["latitude"],"long_name":59.7355969,"short_name":59.7355969},{"types":["longitude"],"long_name":37.6771264,"short_name":37.6771264},{"types":["debug_info","cache_load_result"],"long_name":"hit","short_name":"hit"}]</v>
      </c>
      <c r="K71" s="9" t="b">
        <f t="shared" si="112"/>
        <v>0</v>
      </c>
      <c r="L71" s="8" t="b">
        <f t="shared" si="4"/>
        <v>1</v>
      </c>
      <c r="M71" s="10" t="b">
        <v>1</v>
      </c>
      <c r="N71" s="10">
        <v>59.7355969</v>
      </c>
      <c r="O71" s="10">
        <v>37.6771264</v>
      </c>
      <c r="P71" s="10" t="s">
        <v>313</v>
      </c>
      <c r="Q71" s="10" t="s">
        <v>314</v>
      </c>
      <c r="R71" s="10">
        <v>161216.0</v>
      </c>
      <c r="S71" s="10" t="s">
        <v>315</v>
      </c>
      <c r="T71" s="19" t="s">
        <v>56</v>
      </c>
      <c r="U71" s="20" t="s">
        <v>56</v>
      </c>
      <c r="V71" s="18">
        <v>4934.54</v>
      </c>
      <c r="W71" s="4"/>
      <c r="X71" s="4" t="str">
        <f t="shared" si="5"/>
        <v>N/A</v>
      </c>
      <c r="Y71" s="4"/>
      <c r="Z71" s="4" t="s">
        <v>38</v>
      </c>
      <c r="AB71" s="14" t="s">
        <v>316</v>
      </c>
    </row>
    <row r="72" hidden="1">
      <c r="A72" s="3" t="s">
        <v>180</v>
      </c>
      <c r="B72" s="4" t="s">
        <v>317</v>
      </c>
      <c r="C72" s="4"/>
      <c r="D72" s="4"/>
      <c r="E72" s="5"/>
      <c r="F72" s="4" t="s">
        <v>317</v>
      </c>
      <c r="G72" s="6" t="str">
        <f t="shared" si="1"/>
        <v>Link</v>
      </c>
      <c r="H72" s="3" t="s">
        <v>45</v>
      </c>
      <c r="I72" s="8" t="str">
        <f t="shared" si="2"/>
        <v>{"address_components":[{"long_name":"Oradour-sur-Glane","short_name":"Oradour-sur-Glane","types":["locality","political"]},{"types":["administrative_area_level_2","political"],"short_name":"Haute-Vienne","long_name":"Haute-Vienne"},{"long_name":"Nouvelle-Aquitaine","short_name":"Nouvelle-Aquitaine","types":["administrative_area_level_1","political"]},{"types":["country","political"],"short_name":"FR","long_name":"France"},{"types":["postal_code"],"long_name":"87520","short_name":"87520"},{"types":["street_number"],"short_name":"6","long_name":"6"},{"types":["route"],"short_name":"Rue de la Mairie","long_name":"Rue de la Mairie"},{"types":["locality","political"],"long_name":"Oradour-sur-Glane","short_name":"Oradour-sur-Glane"},{"types":["administrative_area_level_2","political"],"long_name":"Haute-Vienne","short_name":"Haute-Vienne"},{"types":["administrative_area_level_1","political"],"long_name":"Nouvelle-Aquitaine","short_name":"Nouvelle-Aquitaine"},{"long_name":"France","short_name":"FR","types":["country","political"]},{"short_name":"87520","long_name":"87520","types":["postal_code"]},{"types":["latitude"],"long_name":45.9310789,"short_name":45.9310789},{"types":["longitude"],"long_name":1.032746,"short_name":1.032746}]}</v>
      </c>
      <c r="J72" s="8" t="str">
        <f t="shared" si="3"/>
        <v>[{"long_name":"Oradour-sur-Glane","short_name":"Oradour-sur-Glane","types":["locality","political"]},{"types":["administrative_area_level_2","political"],"short_name":"Haute-Vienne","long_name":"Haute-Vienne"},{"long_name":"Nouvelle-Aquitaine","short_name":"Nouvelle-Aquitaine","types":["administrative_area_level_1","political"]},{"types":["country","political"],"short_name":"FR","long_name":"France"},{"types":["postal_code"],"long_name":"87520","short_name":"87520"},{"types":["street_number"],"short_name":"6","long_name":"6"},{"types":["route"],"short_name":"Rue de la Mairie","long_name":"Rue de la Mairie"},{"types":["locality","political"],"long_name":"Oradour-sur-Glane","short_name":"Oradour-sur-Glane"},{"types":["administrative_area_level_2","political"],"long_name":"Haute-Vienne","short_name":"Haute-Vienne"},{"types":["administrative_area_level_1","political"],"long_name":"Nouvelle-Aquitaine","short_name":"Nouvelle-Aquitaine"},{"long_name":"France","short_name":"FR","types":["country","political"]},{"short_name":"87520","long_name":"87520","types":["postal_code"]},{"types":["latitude"],"long_name":45.9310789,"short_name":45.9310789},{"types":["longitude"],"long_name":1.032746,"short_name":1.032746},{"types":["debug_info","cache_load_result"],"long_name":"hit","short_name":"hit"}]</v>
      </c>
      <c r="K72" s="9" t="b">
        <f t="shared" si="112"/>
        <v>0</v>
      </c>
      <c r="L72" s="8" t="b">
        <f t="shared" si="4"/>
        <v>1</v>
      </c>
      <c r="M72" s="10" t="b">
        <v>1</v>
      </c>
      <c r="N72" s="10">
        <v>45.9310789</v>
      </c>
      <c r="O72" s="10">
        <v>1.032746</v>
      </c>
      <c r="P72" s="10" t="s">
        <v>318</v>
      </c>
      <c r="Q72" s="10" t="s">
        <v>319</v>
      </c>
      <c r="R72" s="10">
        <v>87520.0</v>
      </c>
      <c r="S72" s="10" t="s">
        <v>84</v>
      </c>
      <c r="T72" s="19" t="s">
        <v>56</v>
      </c>
      <c r="U72" s="20" t="s">
        <v>56</v>
      </c>
      <c r="V72" s="18">
        <v>5124.69</v>
      </c>
      <c r="W72" s="4"/>
      <c r="X72" s="4" t="str">
        <f t="shared" si="5"/>
        <v>N/A</v>
      </c>
      <c r="Y72" s="4"/>
      <c r="Z72" s="4" t="s">
        <v>38</v>
      </c>
      <c r="AA72" s="4"/>
      <c r="AB72" s="14" t="s">
        <v>103</v>
      </c>
      <c r="AF72" s="4" t="s">
        <v>320</v>
      </c>
    </row>
    <row r="73">
      <c r="A73" s="3" t="s">
        <v>180</v>
      </c>
      <c r="B73" s="4" t="s">
        <v>321</v>
      </c>
      <c r="C73" s="4"/>
      <c r="D73" s="4"/>
      <c r="E73" s="5"/>
      <c r="F73" s="4" t="s">
        <v>322</v>
      </c>
      <c r="G73" s="6" t="str">
        <f t="shared" si="1"/>
        <v>Link</v>
      </c>
      <c r="H73" s="3" t="s">
        <v>323</v>
      </c>
      <c r="I73" s="8" t="str">
        <f t="shared" si="2"/>
        <v>{"duration_from":{"days":{"driving":{"2116 4th Ave, Seattle, WA, 98121":"GOOGLE_MAPS_ERROR_CACHED - No route found!"}}},"address_components":[{"long_name":"Runit Island","short_name":"Runit Island","types":["establishment","natural_feature"]},{"long_name":"Enewetak Atoll","short_name":"Enewetak Atoll","types":["administrative_area_level_1","political"]},{"long_name":"Marshall Islands","types":["country","political"],"short_name":"MH"},{"short_name":"7V34G9W2+FV","types":["plus_code"],"long_name":"7V34G9W2+FV"},{"types":["latitude"],"long_name":11.5462409,"short_name":11.5462409},{"types":["longitude"],"long_name":162.3522018,"short_name":162.3522018}],"distance_from":{"mi":{"driving":{"2116 4th Ave, Seattle, WA, 98121":"GOOGLE_MAPS_ERROR_CACHED - No route found!"},"flying":{"2116 4th Ave, Seattle, WA, 98121":4948.235922800652}}}}</v>
      </c>
      <c r="J73" s="8" t="str">
        <f t="shared" si="3"/>
        <v>[{"long_name":"Runit Island","short_name":"Runit Island","types":["establishment","natural_feature"]},{"long_name":"Enewetak Atoll","short_name":"Enewetak Atoll","types":["administrative_area_level_1","political"]},{"long_name":"Marshall Islands","types":["country","political"],"short_name":"MH"},{"short_name":"7V34G9W2+FV","types":["plus_code"],"long_name":"7V34G9W2+FV"},{"types":["latitude"],"long_name":11.5462409,"short_name":11.5462409},{"types":["longitude"],"long_name":162.3522018,"short_name":162.3522018},{"types":["debug_info","cache_load_result"],"long_name":"hit","short_name":"hit"}]</v>
      </c>
      <c r="K73" s="9" t="b">
        <f>NOT(AND(NOT(_xlfn.ISFORMULA(P73)),AND(NOT(_xlfn.ISFORMULA(Q73)),AND(NOT(_xlfn.ISFORMULA(R73)),AND(NOT(_xlfn.ISFORMULA(S73)),AND(NOT(_xlfn.ISFORMULA(T73)),AND(NOT(_xlfn.ISFORMULA(U73)),AND(NOT(_xlfn.ISFORMULA(V73))))))))))</f>
        <v>1</v>
      </c>
      <c r="L73" s="8" t="b">
        <f t="shared" si="4"/>
        <v>0</v>
      </c>
      <c r="M73" s="10" t="b">
        <v>1</v>
      </c>
      <c r="N73" s="8">
        <f>GOOGLEMAPS_GET_ADDRESS_LATITUDE(F73,true)</f>
        <v>11.5462409</v>
      </c>
      <c r="O73" s="8">
        <f>GOOGLEMAPS_GET_ADDRESS_LONGITUDE(F73,true)</f>
        <v>162.3522018</v>
      </c>
      <c r="P73" s="8" t="str">
        <f>GOOGLEMAPS_GET_ADDRESS_CITY(F73,true,false)</f>
        <v>UNDEFINED</v>
      </c>
      <c r="Q73" s="8" t="str">
        <f>GOOGLEMAPS_GET_ADDRESS_STATE(F73,true,false)</f>
        <v>Enewetak Atoll</v>
      </c>
      <c r="R73" s="8" t="str">
        <f>GOOGLEMAPS_GET_ADDRESS_POSTAL_CODE(F73,false,false)</f>
        <v>UNDEFINED</v>
      </c>
      <c r="S73" s="8" t="str">
        <f>GOOGLEMAPS_GET_ADDRESS_COUNTRY(F73,true,false)</f>
        <v>Marshall Islands</v>
      </c>
      <c r="T73" s="11" t="str">
        <f>IFERROR(GOOGLEMAPS_DISTANCE("2116 4th Ave, Seattle, WA, 98121", F73, "driving")+0,"Not Driveable")</f>
        <v>Not Driveable</v>
      </c>
      <c r="U73" s="12" t="str">
        <f>iferror(GOOGLEMAPS_DURATION("2116 4th Ave, Seattle, WA, 98121", F73, "driving")+0,"Not Driveable")</f>
        <v>Not Driveable</v>
      </c>
      <c r="V73" s="13">
        <f>GOOGLEMAPS_DISTANCE("2116 4th Ave, Seattle, WA, 98121", F73, "flying")+0</f>
        <v>4948.235923</v>
      </c>
      <c r="W73" s="4"/>
      <c r="X73" s="4" t="str">
        <f t="shared" si="5"/>
        <v>N/A</v>
      </c>
      <c r="Y73" s="4"/>
      <c r="Z73" s="4" t="s">
        <v>38</v>
      </c>
      <c r="AF73" s="4" t="s">
        <v>324</v>
      </c>
    </row>
    <row r="74">
      <c r="A74" s="3" t="s">
        <v>180</v>
      </c>
      <c r="B74" s="4" t="s">
        <v>325</v>
      </c>
      <c r="C74" s="4"/>
      <c r="D74" s="4"/>
      <c r="E74" s="3" t="s">
        <v>43</v>
      </c>
      <c r="F74" s="4" t="s">
        <v>326</v>
      </c>
      <c r="G74" s="6" t="str">
        <f t="shared" si="1"/>
        <v>Link</v>
      </c>
      <c r="H74" s="3" t="s">
        <v>106</v>
      </c>
      <c r="I74" s="8" t="str">
        <f t="shared" si="2"/>
        <v>{"address_components":[{"long_name":"Kyoto","short_name":"Kyoto","types":["locality","political"]},{"long_name":"Kyoto","short_name":"Kyoto","types":["administrative_area_level_1","political"]},{"long_name":"Japan","short_name":"JP","types":["country","political"]},{"short_name":"488","types":["premise"],"long_name":"488"},{"short_name":"Kamihonnōjimaechō","long_name":"Kamihonnōjimaechō","types":["political","sublocality","sublocality_level_2"]},{"long_name":"Nakagyo Ward","short_name":"Nakagyo Ward","types":["political","sublocality","sublocality_level_1"]},{"short_name":"Kyoto","long_name":"Kyoto","types":["locality","political"]},{"long_name":"Kyoto","short_name":"Kyoto","types":["administrative_area_level_1","political"]},{"long_name":"Japan","types":["country","political"],"short_name":"JP"},{"long_name":"604-0925","short_name":"604-0925","types":["postal_code"]},{"types":["latitude"],"long_name":35.011564,"short_name":35.011564},{"types":["longitude"],"long_name":135.7681489,"short_name":135.7681489}]}</v>
      </c>
      <c r="J74" s="8" t="str">
        <f t="shared" si="3"/>
        <v>[{"long_name":"Kyoto","short_name":"Kyoto","types":["locality","political"]},{"long_name":"Kyoto","short_name":"Kyoto","types":["administrative_area_level_1","political"]},{"long_name":"Japan","short_name":"JP","types":["country","political"]},{"short_name":"488","types":["premise"],"long_name":"488"},{"short_name":"Kamihonnōjimaechō","long_name":"Kamihonnōjimaechō","types":["political","sublocality","sublocality_level_2"]},{"long_name":"Nakagyo Ward","short_name":"Nakagyo Ward","types":["political","sublocality","sublocality_level_1"]},{"short_name":"Kyoto","long_name":"Kyoto","types":["locality","political"]},{"long_name":"Kyoto","short_name":"Kyoto","types":["administrative_area_level_1","political"]},{"long_name":"Japan","types":["country","political"],"short_name":"JP"},{"long_name":"604-0925","short_name":"604-0925","types":["postal_code"]},{"types":["latitude"],"long_name":35.011564,"short_name":35.011564},{"types":["longitude"],"long_name":135.7681489,"short_name":135.7681489},{"types":["debug_info","cache_load_result"],"long_name":"hit","short_name":"hit"}]</v>
      </c>
      <c r="K74" s="9" t="b">
        <f>NOT(AND(NOT(_xlfn.ISFORMULA(P74)),AND(NOT(_xlfn.ISFORMULA(Q74)),AND(NOT(_xlfn.ISFORMULA(R74)),AND(NOT(_xlfn.ISFORMULA(S74)),AND(NOT(_xlfn.ISFORMULA(T74)),AND(NOT(_xlfn.ISFORMULA(U74)),AND(NOT(_xlfn.ISFORMULA(V74)),AND(NOT(_xlfn.ISFORMULA(N74)),NOT(_xlfn.ISFORMULA(O74)))))))))))</f>
        <v>0</v>
      </c>
      <c r="L74" s="8" t="b">
        <f t="shared" si="4"/>
        <v>1</v>
      </c>
      <c r="M74" s="10" t="b">
        <v>1</v>
      </c>
      <c r="N74" s="10">
        <v>35.011564</v>
      </c>
      <c r="O74" s="10">
        <v>135.7681489</v>
      </c>
      <c r="P74" s="10" t="s">
        <v>325</v>
      </c>
      <c r="Q74" s="10" t="s">
        <v>325</v>
      </c>
      <c r="R74" s="10" t="s">
        <v>327</v>
      </c>
      <c r="S74" s="10" t="s">
        <v>77</v>
      </c>
      <c r="T74" s="19" t="s">
        <v>56</v>
      </c>
      <c r="U74" s="20" t="s">
        <v>56</v>
      </c>
      <c r="V74" s="18">
        <v>4970.55</v>
      </c>
      <c r="W74" s="4"/>
      <c r="X74" s="4" t="str">
        <f t="shared" si="5"/>
        <v>N/A</v>
      </c>
      <c r="Y74" s="4"/>
      <c r="Z74" s="4" t="s">
        <v>38</v>
      </c>
    </row>
    <row r="75">
      <c r="A75" s="3" t="s">
        <v>180</v>
      </c>
      <c r="B75" s="4" t="s">
        <v>328</v>
      </c>
      <c r="C75" s="4" t="s">
        <v>329</v>
      </c>
      <c r="D75" s="4" t="s">
        <v>330</v>
      </c>
      <c r="E75" s="3" t="s">
        <v>174</v>
      </c>
      <c r="F75" s="4" t="s">
        <v>328</v>
      </c>
      <c r="G75" s="6" t="str">
        <f t="shared" si="1"/>
        <v>Link</v>
      </c>
      <c r="H75" s="3" t="s">
        <v>331</v>
      </c>
      <c r="I75" s="7" t="str">
        <f t="shared" si="2"/>
        <v>{"address_components":[{"types":["route"],"short_name":"Avenida Marcelino Sanz de Sautuola, s/n","long_name":"Avenida Marcelino Sanz de Sautuola, s/n"},{"types":["locality","political"],"short_name":"Santillana del Mar","long_name":"Santillana del Mar"},{"long_name":"Cantabria","short_name":"S","types":["administrative_area_level_2","political"]},{"long_name":"Cantabria","types":["administrative_area_level_1","political"],"short_name":"CB"},{"long_name":"Spain","types":["country","political"],"short_name":"ES"},{"long_name":"39330","types":["postal_code"],"short_name":"39330"},{"types":["plus_code"],"short_name":"9VGH+X7","long_name":"9VGH+X7"},{"long_name":"San Esteban","short_name":"San Esteban","types":["locality","political"]},{"short_name":"S","types":["administrative_area_level_2","political"],"long_name":"Cantabria"},{"long_name":"Cantabria","short_name":"CB","types":["administrative_area_level_1","political"]},{"long_name":"Spain","short_name":"ES","types":["country","political"]},{"short_name":"39539","types":["postal_code"],"long_name":"39539"},{"types":["latitude"],"long_name":43.3773784,"short_name":43.3773784},{"types":["longitude"],"long_name":-4.121874,"short_name":-4.121874}],"distance_from":{"mi":{"driving":{"2116 4th Ave, Seattle, WA, 98121":"GOOGLE_MAPS_ERROR_CACHED - No route found!"},"flying":{"2116 4th Ave, Seattle, WA, 98121":5113.077410615532}}},"duration_from":{"days":{"driving":{"2116 4th Ave, Seattle, WA, 98121":"GOOGLE_MAPS_ERROR_CACHED - No route found!"}}}}</v>
      </c>
      <c r="J75" s="8" t="str">
        <f t="shared" si="3"/>
        <v>[{"types":["route"],"short_name":"Avenida Marcelino Sanz de Sautuola, s/n","long_name":"Avenida Marcelino Sanz de Sautuola, s/n"},{"types":["locality","political"],"short_name":"Santillana del Mar","long_name":"Santillana del Mar"},{"long_name":"Cantabria","short_name":"S","types":["administrative_area_level_2","political"]},{"long_name":"Cantabria","types":["administrative_area_level_1","political"],"short_name":"CB"},{"long_name":"Spain","types":["country","political"],"short_name":"ES"},{"long_name":"39330","types":["postal_code"],"short_name":"39330"},{"types":["plus_code"],"short_name":"9VGH+X7","long_name":"9VGH+X7"},{"long_name":"San Esteban","short_name":"San Esteban","types":["locality","political"]},{"short_name":"S","types":["administrative_area_level_2","political"],"long_name":"Cantabria"},{"long_name":"Cantabria","short_name":"CB","types":["administrative_area_level_1","political"]},{"long_name":"Spain","short_name":"ES","types":["country","political"]},{"short_name":"39539","types":["postal_code"],"long_name":"39539"},{"types":["latitude"],"long_name":43.3773784,"short_name":43.3773784},{"types":["longitude"],"long_name":-4.121874,"short_name":-4.121874},{"types":["debug_info","cache_load_result"],"long_name":"hit","short_name":"hit"}]</v>
      </c>
      <c r="K75" s="9" t="b">
        <f t="shared" ref="K75:K80" si="113">NOT(AND(NOT(_xlfn.ISFORMULA(P75)),AND(NOT(_xlfn.ISFORMULA(Q75)),AND(NOT(_xlfn.ISFORMULA(R75)),AND(NOT(_xlfn.ISFORMULA(S75)),AND(NOT(_xlfn.ISFORMULA(T75)),AND(NOT(_xlfn.ISFORMULA(U75)),AND(NOT(_xlfn.ISFORMULA(V75))))))))))</f>
        <v>1</v>
      </c>
      <c r="L75" s="8" t="b">
        <f t="shared" si="4"/>
        <v>0</v>
      </c>
      <c r="M75" s="10" t="b">
        <v>1</v>
      </c>
      <c r="N75" s="8">
        <f t="shared" ref="N75:N80" si="114">GOOGLEMAPS_GET_ADDRESS_LATITUDE(F75,true)</f>
        <v>43.3773784</v>
      </c>
      <c r="O75" s="8">
        <f t="shared" ref="O75:O80" si="115">GOOGLEMAPS_GET_ADDRESS_LONGITUDE(F75,true)</f>
        <v>-4.121874</v>
      </c>
      <c r="P75" s="8" t="str">
        <f t="shared" ref="P75:P80" si="116">GOOGLEMAPS_GET_ADDRESS_CITY(F75,true,false)</f>
        <v>Santillana del Mar</v>
      </c>
      <c r="Q75" s="8" t="str">
        <f t="shared" ref="Q75:Q80" si="117">GOOGLEMAPS_GET_ADDRESS_STATE(F75,true,false)</f>
        <v>Cantabria</v>
      </c>
      <c r="R75" s="8" t="str">
        <f t="shared" ref="R75:R80" si="118">GOOGLEMAPS_GET_ADDRESS_POSTAL_CODE(F75,false,false)</f>
        <v>39330</v>
      </c>
      <c r="S75" s="8" t="str">
        <f t="shared" ref="S75:S80" si="119">GOOGLEMAPS_GET_ADDRESS_COUNTRY(F75,true,false)</f>
        <v>Spain</v>
      </c>
      <c r="T75" s="11" t="str">
        <f t="shared" ref="T75:T80" si="120">IFERROR(GOOGLEMAPS_DISTANCE("2116 4th Ave, Seattle, WA, 98121", F75, "driving")+0,"Not Driveable")</f>
        <v>Not Driveable</v>
      </c>
      <c r="U75" s="12" t="str">
        <f t="shared" ref="U75:U80" si="121">iferror(GOOGLEMAPS_DURATION("2116 4th Ave, Seattle, WA, 98121", F75, "driving")+0,"Not Driveable")</f>
        <v>Not Driveable</v>
      </c>
      <c r="V75" s="13">
        <f t="shared" ref="V75:V80" si="122">GOOGLEMAPS_DISTANCE("2116 4th Ave, Seattle, WA, 98121", F75, "flying")+0</f>
        <v>5113.077411</v>
      </c>
      <c r="X75" s="4" t="str">
        <f t="shared" si="5"/>
        <v>N/A</v>
      </c>
      <c r="Y75" s="4"/>
      <c r="Z75" s="4" t="s">
        <v>38</v>
      </c>
      <c r="AB75" s="14" t="s">
        <v>69</v>
      </c>
    </row>
    <row r="76" hidden="1">
      <c r="A76" s="3" t="s">
        <v>180</v>
      </c>
      <c r="B76" s="4" t="s">
        <v>332</v>
      </c>
      <c r="C76" s="4"/>
      <c r="D76" s="4" t="s">
        <v>333</v>
      </c>
      <c r="E76" s="5"/>
      <c r="F76" s="4" t="s">
        <v>334</v>
      </c>
      <c r="G76" s="6" t="str">
        <f t="shared" si="1"/>
        <v>Link</v>
      </c>
      <c r="H76" s="3" t="s">
        <v>45</v>
      </c>
      <c r="I76" s="8" t="str">
        <f t="shared" si="2"/>
        <v>{"address_components":[{"long_name":"Salton Sea","short_name":"Salton Sea","types":["establishment","natural_feature"]},{"long_name":"California","short_name":"CA","types":["administrative_area_level_1","political"]},{"short_name":"US","types":["country","political"],"long_name":"United States"},{"long_name":"85H4+CJ","short_name":"85H4+CJ","types":["plus_code"]},{"short_name":"Salton City","types":["locality","political"],"long_name":"Salton City"},{"short_name":"Imperial County","types":["administrative_area_level_2","political"],"long_name":"Imperial County"},{"short_name":"CA","types":["administrative_area_level_1","political"],"long_name":"California"},{"long_name":"United States","short_name":"US","types":["country","political"]},{"short_name":"92274","types":["postal_code"],"long_name":"92274"},{"types":["latitude"],"long_name":33.3286185,"short_name":33.3286185},{"types":["longitude"],"long_name":-115.8434122,"short_name":-115.8434122}],"distance_from":{"mi":{"flying":{"2116 4th Ave, Seattle, WA, 98121":1043.5321311842122},"driving":{"2116 4th Ave, Seattle, WA, 98121":1297.0329451824973}}},"duration_from":{"days":{"driving":{"2116 4th Ave, Seattle, WA, 98121":0.8294212962962962}}}}</v>
      </c>
      <c r="J76" s="8" t="str">
        <f t="shared" si="3"/>
        <v>[{"long_name":"Salton Sea","short_name":"Salton Sea","types":["establishment","natural_feature"]},{"long_name":"California","short_name":"CA","types":["administrative_area_level_1","political"]},{"short_name":"US","types":["country","political"],"long_name":"United States"},{"long_name":"85H4+CJ","short_name":"85H4+CJ","types":["plus_code"]},{"short_name":"Salton City","types":["locality","political"],"long_name":"Salton City"},{"short_name":"Imperial County","types":["administrative_area_level_2","political"],"long_name":"Imperial County"},{"short_name":"CA","types":["administrative_area_level_1","political"],"long_name":"California"},{"long_name":"United States","short_name":"US","types":["country","political"]},{"short_name":"92274","types":["postal_code"],"long_name":"92274"},{"types":["latitude"],"long_name":33.3286185,"short_name":33.3286185},{"types":["longitude"],"long_name":-115.8434122,"short_name":-115.8434122},{"types":["debug_info","cache_load_result"],"long_name":"hit","short_name":"hit"}]</v>
      </c>
      <c r="K76" s="9" t="b">
        <f t="shared" si="113"/>
        <v>1</v>
      </c>
      <c r="L76" s="8" t="b">
        <f t="shared" si="4"/>
        <v>0</v>
      </c>
      <c r="M76" s="10" t="b">
        <v>1</v>
      </c>
      <c r="N76" s="8">
        <f t="shared" si="114"/>
        <v>33.3286185</v>
      </c>
      <c r="O76" s="8">
        <f t="shared" si="115"/>
        <v>-115.8434122</v>
      </c>
      <c r="P76" s="8" t="str">
        <f t="shared" si="116"/>
        <v>Salton City</v>
      </c>
      <c r="Q76" s="8" t="str">
        <f t="shared" si="117"/>
        <v>California</v>
      </c>
      <c r="R76" s="8" t="str">
        <f t="shared" si="118"/>
        <v>92274</v>
      </c>
      <c r="S76" s="8" t="str">
        <f t="shared" si="119"/>
        <v>United States</v>
      </c>
      <c r="T76" s="11">
        <f t="shared" si="120"/>
        <v>1297.032945</v>
      </c>
      <c r="U76" s="12">
        <f t="shared" si="121"/>
        <v>0.8294212963</v>
      </c>
      <c r="V76" s="13">
        <f t="shared" si="122"/>
        <v>1043.532131</v>
      </c>
      <c r="W76" s="4"/>
      <c r="X76" s="4" t="str">
        <f t="shared" si="5"/>
        <v>N/A</v>
      </c>
      <c r="Y76" s="4"/>
      <c r="Z76" s="4" t="s">
        <v>38</v>
      </c>
    </row>
    <row r="77" hidden="1">
      <c r="A77" s="34" t="s">
        <v>180</v>
      </c>
      <c r="B77" s="4" t="s">
        <v>335</v>
      </c>
      <c r="C77" s="4" t="s">
        <v>336</v>
      </c>
      <c r="D77" s="4" t="s">
        <v>337</v>
      </c>
      <c r="E77" s="5"/>
      <c r="F77" s="4" t="s">
        <v>338</v>
      </c>
      <c r="G77" s="6" t="str">
        <f t="shared" si="1"/>
        <v>Link</v>
      </c>
      <c r="H77" s="3" t="s">
        <v>45</v>
      </c>
      <c r="I77" s="8" t="str">
        <f t="shared" si="2"/>
        <v>{"address_components":[{"types":["colloquial_area","political"],"long_name":"Bodie","short_name":"Bodie"},{"long_name":"Mono County","types":["administrative_area_level_2","political"],"short_name":"Mono County"},{"long_name":"California","short_name":"CA","types":["administrative_area_level_1","political"]},{"long_name":"United States","short_name":"US","types":["country","political"]},{"short_name":"6X7P+4X","long_name":"6X7P+4X","types":["plus_code"]},{"long_name":"Bridgeport","short_name":"Bridgeport","types":["locality","political"]},{"short_name":"Mono County","long_name":"Mono County","types":["administrative_area_level_2","political"]},{"long_name":"California","types":["administrative_area_level_1","political"],"short_name":"CA"},{"short_name":"US","types":["country","political"],"long_name":"United States"},{"short_name":"93517","types":["postal_code"],"long_name":"93517"},{"types":["latitude"],"long_name":38.21277930000001,"short_name":38.21277930000001},{"types":["longitude"],"long_name":-119.01251,"short_name":-119.01251}],"distance_from":{"mi":{"flying":{"2116 4th Ave, Seattle, WA, 98121":670.909192588266},"driving":{"2116 4th Ave, Seattle, WA, 98121":836.5348527967988}}},"duration_from":{"days":{"driving":{"2116 4th Ave, Seattle, WA, 98121":0.5857638888888889}}}}</v>
      </c>
      <c r="J77" s="8" t="str">
        <f t="shared" si="3"/>
        <v>[{"types":["colloquial_area","political"],"long_name":"Bodie","short_name":"Bodie"},{"long_name":"Mono County","types":["administrative_area_level_2","political"],"short_name":"Mono County"},{"long_name":"California","short_name":"CA","types":["administrative_area_level_1","political"]},{"long_name":"United States","short_name":"US","types":["country","political"]},{"short_name":"6X7P+4X","long_name":"6X7P+4X","types":["plus_code"]},{"long_name":"Bridgeport","short_name":"Bridgeport","types":["locality","political"]},{"short_name":"Mono County","long_name":"Mono County","types":["administrative_area_level_2","political"]},{"long_name":"California","types":["administrative_area_level_1","political"],"short_name":"CA"},{"short_name":"US","types":["country","political"],"long_name":"United States"},{"short_name":"93517","types":["postal_code"],"long_name":"93517"},{"types":["latitude"],"long_name":38.21277930000001,"short_name":38.21277930000001},{"types":["longitude"],"long_name":-119.01251,"short_name":-119.01251},{"types":["debug_info","cache_load_result"],"long_name":"hit","short_name":"hit"}]</v>
      </c>
      <c r="K77" s="9" t="b">
        <f t="shared" si="113"/>
        <v>1</v>
      </c>
      <c r="L77" s="8" t="b">
        <f t="shared" si="4"/>
        <v>0</v>
      </c>
      <c r="M77" s="10" t="b">
        <v>1</v>
      </c>
      <c r="N77" s="8">
        <f t="shared" si="114"/>
        <v>38.2127793</v>
      </c>
      <c r="O77" s="8">
        <f t="shared" si="115"/>
        <v>-119.01251</v>
      </c>
      <c r="P77" s="8" t="str">
        <f t="shared" si="116"/>
        <v>Bridgeport</v>
      </c>
      <c r="Q77" s="8" t="str">
        <f t="shared" si="117"/>
        <v>California</v>
      </c>
      <c r="R77" s="8" t="str">
        <f t="shared" si="118"/>
        <v>93517</v>
      </c>
      <c r="S77" s="8" t="str">
        <f t="shared" si="119"/>
        <v>United States</v>
      </c>
      <c r="T77" s="11">
        <f t="shared" si="120"/>
        <v>836.5348528</v>
      </c>
      <c r="U77" s="12">
        <f t="shared" si="121"/>
        <v>0.5857638889</v>
      </c>
      <c r="V77" s="13">
        <f t="shared" si="122"/>
        <v>670.9091926</v>
      </c>
      <c r="W77" s="4"/>
      <c r="X77" s="4" t="str">
        <f t="shared" si="5"/>
        <v>N/A</v>
      </c>
      <c r="Y77" s="4"/>
      <c r="Z77" s="4" t="s">
        <v>38</v>
      </c>
    </row>
    <row r="78">
      <c r="A78" s="3" t="s">
        <v>180</v>
      </c>
      <c r="B78" s="4" t="s">
        <v>339</v>
      </c>
      <c r="C78" s="4" t="s">
        <v>340</v>
      </c>
      <c r="D78" s="4" t="s">
        <v>341</v>
      </c>
      <c r="E78" s="3" t="s">
        <v>43</v>
      </c>
      <c r="F78" s="35" t="s">
        <v>342</v>
      </c>
      <c r="G78" s="6" t="str">
        <f t="shared" si="1"/>
        <v>Link</v>
      </c>
      <c r="H78" s="3" t="s">
        <v>37</v>
      </c>
      <c r="I78" s="7" t="str">
        <f t="shared" si="2"/>
        <v>{"address_components":[{"types":["establishment","park","point_of_interest"],"long_name":"Fanal Forest","short_name":"Fanal Forest"},{"short_name":"Seixal","long_name":"Seixal","types":["administrative_area_level_3","political"]},{"long_name":"Porto Moniz","short_name":"Porto Moniz","types":["administrative_area_level_2","political"]},{"short_name":"Madeira","long_name":"Madeira","types":["administrative_area_level_1","political"]},{"short_name":"PT","long_name":"Portugal","types":["country","political"]},{"long_name":"9270","short_name":"9270","types":["postal_code","postal_code_prefix"]},{"short_name":"RV54+RF","types":["plus_code"],"long_name":"RV54+RF"},{"long_name":"Seixal","short_name":"Seixal","types":["locality","political"]},{"short_name":"Madeira","long_name":"Madeira","types":["administrative_area_level_2","political"]},{"types":["administrative_area_level_1","political"],"long_name":"Madeira","short_name":"Madeira"},{"short_name":"PT","types":["country","political"],"long_name":"Portugal"},{"types":["latitude"],"long_name":32.8096141,"short_name":32.8096141},{"types":["longitude"],"long_name":-17.1438626,"short_name":-17.1438626}],"distance_from":{"mi":{"flying":{"2116 4th Ave, Seattle, WA, 98121":5211.188437496116},"driving":{"2116 4th Ave, Seattle, WA, 98121":"GOOGLE_MAPS_ERROR_CACHED - No route found!"}}},"duration_from":{"days":{"driving":{"2116 4th Ave, Seattle, WA, 98121":"GOOGLE_MAPS_ERROR_CACHED - No route found!"}}}}</v>
      </c>
      <c r="J78" s="8" t="str">
        <f t="shared" si="3"/>
        <v>[{"types":["establishment","park","point_of_interest"],"long_name":"Fanal Forest","short_name":"Fanal Forest"},{"short_name":"Seixal","long_name":"Seixal","types":["administrative_area_level_3","political"]},{"long_name":"Porto Moniz","short_name":"Porto Moniz","types":["administrative_area_level_2","political"]},{"short_name":"Madeira","long_name":"Madeira","types":["administrative_area_level_1","political"]},{"short_name":"PT","long_name":"Portugal","types":["country","political"]},{"long_name":"9270","short_name":"9270","types":["postal_code","postal_code_prefix"]},{"short_name":"RV54+RF","types":["plus_code"],"long_name":"RV54+RF"},{"long_name":"Seixal","short_name":"Seixal","types":["locality","political"]},{"short_name":"Madeira","long_name":"Madeira","types":["administrative_area_level_2","political"]},{"types":["administrative_area_level_1","political"],"long_name":"Madeira","short_name":"Madeira"},{"short_name":"PT","types":["country","political"],"long_name":"Portugal"},{"types":["latitude"],"long_name":32.8096141,"short_name":32.8096141},{"types":["longitude"],"long_name":-17.1438626,"short_name":-17.1438626},{"types":["debug_info","cache_load_result"],"long_name":"hit","short_name":"hit"}]</v>
      </c>
      <c r="K78" s="9" t="b">
        <f t="shared" si="113"/>
        <v>1</v>
      </c>
      <c r="L78" s="8" t="b">
        <f t="shared" si="4"/>
        <v>0</v>
      </c>
      <c r="M78" s="10" t="b">
        <v>1</v>
      </c>
      <c r="N78" s="8">
        <f t="shared" si="114"/>
        <v>32.8096141</v>
      </c>
      <c r="O78" s="8">
        <f t="shared" si="115"/>
        <v>-17.1438626</v>
      </c>
      <c r="P78" s="8" t="str">
        <f t="shared" si="116"/>
        <v>Seixal</v>
      </c>
      <c r="Q78" s="8" t="str">
        <f t="shared" si="117"/>
        <v>Madeira</v>
      </c>
      <c r="R78" s="8" t="str">
        <f t="shared" si="118"/>
        <v>9270</v>
      </c>
      <c r="S78" s="8" t="str">
        <f t="shared" si="119"/>
        <v>Portugal</v>
      </c>
      <c r="T78" s="11" t="str">
        <f t="shared" si="120"/>
        <v>Not Driveable</v>
      </c>
      <c r="U78" s="12" t="str">
        <f t="shared" si="121"/>
        <v>Not Driveable</v>
      </c>
      <c r="V78" s="13">
        <f t="shared" si="122"/>
        <v>5211.188437</v>
      </c>
      <c r="X78" s="4" t="str">
        <f t="shared" si="5"/>
        <v>N/A</v>
      </c>
      <c r="Y78" s="4"/>
      <c r="Z78" s="4" t="s">
        <v>38</v>
      </c>
      <c r="AB78" s="14" t="s">
        <v>343</v>
      </c>
    </row>
    <row r="79" hidden="1">
      <c r="A79" s="3" t="s">
        <v>180</v>
      </c>
      <c r="B79" s="4" t="s">
        <v>344</v>
      </c>
      <c r="C79" s="4"/>
      <c r="D79" s="4"/>
      <c r="E79" s="5"/>
      <c r="F79" s="4" t="s">
        <v>345</v>
      </c>
      <c r="G79" s="6" t="str">
        <f t="shared" si="1"/>
        <v>Link</v>
      </c>
      <c r="H79" s="3" t="s">
        <v>45</v>
      </c>
      <c r="I79" s="8" t="str">
        <f t="shared" si="2"/>
        <v>{"address_components":[{"long_name":"Hanford","types":["colloquial_area","political"],"short_name":"Hanford"},{"short_name":"Benton County","types":["administrative_area_level_2","political"],"long_name":"Benton County"},{"long_name":"Washington","short_name":"WA","types":["administrative_area_level_1","political"]},{"types":["country","political"],"short_name":"US","long_name":"United States"},{"types":["postal_code"],"long_name":"99343","short_name":"99343"},{"types":["plus_code"],"long_name":"HJM7+H8","short_name":"HJM7+H8"},{"short_name":"Edna","types":["locality","political"],"long_name":"Edna"},{"short_name":"Benton County","long_name":"Benton County","types":["administrative_area_level_2","political"]},{"long_name":"Washington","short_name":"WA","types":["administrative_area_level_1","political"]},{"types":["country","political"],"short_name":"US","long_name":"United States"},{"short_name":"98944","types":["postal_code"],"long_name":"98944"},{"types":["latitude"],"long_name":46.583889,"short_name":46.583889},{"types":["longitude"],"long_name":-119.386667,"short_name":-119.386667}],"distance_from":{"mi":{"flying":{"2116 4th Ave, Seattle, WA, 98121":156.1515900928331},"driving":{"2116 4th Ave, Seattle, WA, 98121":188.99300334298533}}},"duration_from":{"days":{"driving":{"2116 4th Ave, Seattle, WA, 98121":0.1291898148148148}}}}</v>
      </c>
      <c r="J79" s="8" t="str">
        <f t="shared" si="3"/>
        <v>[{"long_name":"Hanford","types":["colloquial_area","political"],"short_name":"Hanford"},{"short_name":"Benton County","types":["administrative_area_level_2","political"],"long_name":"Benton County"},{"long_name":"Washington","short_name":"WA","types":["administrative_area_level_1","political"]},{"types":["country","political"],"short_name":"US","long_name":"United States"},{"types":["postal_code"],"long_name":"99343","short_name":"99343"},{"types":["plus_code"],"long_name":"HJM7+H8","short_name":"HJM7+H8"},{"short_name":"Edna","types":["locality","political"],"long_name":"Edna"},{"short_name":"Benton County","long_name":"Benton County","types":["administrative_area_level_2","political"]},{"long_name":"Washington","short_name":"WA","types":["administrative_area_level_1","political"]},{"types":["country","political"],"short_name":"US","long_name":"United States"},{"short_name":"98944","types":["postal_code"],"long_name":"98944"},{"types":["latitude"],"long_name":46.583889,"short_name":46.583889},{"types":["longitude"],"long_name":-119.386667,"short_name":-119.386667},{"types":["debug_info","cache_load_result"],"long_name":"hit","short_name":"hit"}]</v>
      </c>
      <c r="K79" s="9" t="b">
        <f t="shared" si="113"/>
        <v>1</v>
      </c>
      <c r="L79" s="8" t="b">
        <f t="shared" si="4"/>
        <v>0</v>
      </c>
      <c r="M79" s="10" t="b">
        <v>1</v>
      </c>
      <c r="N79" s="8">
        <f t="shared" si="114"/>
        <v>46.583889</v>
      </c>
      <c r="O79" s="8">
        <f t="shared" si="115"/>
        <v>-119.386667</v>
      </c>
      <c r="P79" s="8" t="str">
        <f t="shared" si="116"/>
        <v>Edna</v>
      </c>
      <c r="Q79" s="8" t="str">
        <f t="shared" si="117"/>
        <v>Washington</v>
      </c>
      <c r="R79" s="8" t="str">
        <f t="shared" si="118"/>
        <v>99343</v>
      </c>
      <c r="S79" s="8" t="str">
        <f t="shared" si="119"/>
        <v>United States</v>
      </c>
      <c r="T79" s="11">
        <f t="shared" si="120"/>
        <v>188.9930033</v>
      </c>
      <c r="U79" s="12">
        <f t="shared" si="121"/>
        <v>0.1291898148</v>
      </c>
      <c r="V79" s="13">
        <f t="shared" si="122"/>
        <v>156.1515901</v>
      </c>
      <c r="W79" s="4"/>
      <c r="X79" s="4" t="str">
        <f t="shared" si="5"/>
        <v>N/A</v>
      </c>
      <c r="Y79" s="4"/>
      <c r="Z79" s="4" t="s">
        <v>346</v>
      </c>
      <c r="AA79" s="24"/>
      <c r="AB79" s="25" t="s">
        <v>347</v>
      </c>
      <c r="AC79" s="14" t="s">
        <v>348</v>
      </c>
      <c r="AD79" s="4"/>
    </row>
    <row r="80">
      <c r="A80" s="3" t="s">
        <v>180</v>
      </c>
      <c r="B80" s="4" t="s">
        <v>349</v>
      </c>
      <c r="C80" s="4"/>
      <c r="D80" s="4"/>
      <c r="E80" s="5"/>
      <c r="F80" s="4" t="s">
        <v>350</v>
      </c>
      <c r="G80" s="6" t="str">
        <f t="shared" si="1"/>
        <v>Link</v>
      </c>
      <c r="H80" s="3" t="s">
        <v>37</v>
      </c>
      <c r="I80" s="8" t="str">
        <f t="shared" si="2"/>
        <v>{"address_components":[{"long_name":"Trümmelbach","short_name":"Trümmelbach","types":["colloquial_area","political"]},{"long_name":"Lauterbrunnen","short_name":"Lauterbrunnen","types":["locality","political"]},{"short_name":"Interlaken-Oberhasli","types":["administrative_area_level_2","political"],"long_name":"Interlaken-Oberhasli"},{"long_name":"Bern","types":["administrative_area_level_1","political"],"short_name":"BE"},{"short_name":"CH","long_name":"Switzerland","types":["country","political"]},{"short_name":"3822","types":["postal_code"],"long_name":"3822"},{"short_name":"241B","types":["street_number"],"long_name":"241B"},{"types":["route"],"long_name":"Trümmelbach","short_name":"Trümmelbach"},{"types":["locality","political"],"long_name":"Lauterbrunnen","short_name":"Lauterbrunnen"},{"long_name":"Interlaken-Oberhasli","types":["administrative_area_level_2","political"],"short_name":"Interlaken-Oberhasli"},{"types":["administrative_area_level_1","political"],"short_name":"BE","long_name":"Bern"},{"long_name":"Switzerland","short_name":"CH","types":["country","political"]},{"short_name":"3824","types":["postal_code"],"long_name":"3824"},{"types":["latitude"],"long_name":46.572062,"short_name":46.572062},{"types":["longitude"],"long_name":7.911622299999999,"short_name":7.911622299999999}],"distance_from":{"mi":{"flying":{"2116 4th Ave, Seattle, WA, 98121":5271.27953073931},"driving":{"2116 4th Ave, Seattle, WA, 98121":"GOOGLE_MAPS_ERROR_CACHED - No route found!"}}},"duration_from":{"days":{"driving":{"2116 4th Ave, Seattle, WA, 98121":"GOOGLE_MAPS_ERROR_CACHED - No route found!"}}}}</v>
      </c>
      <c r="J80" s="8" t="str">
        <f t="shared" si="3"/>
        <v>[{"long_name":"Trümmelbach","short_name":"Trümmelbach","types":["colloquial_area","political"]},{"long_name":"Lauterbrunnen","short_name":"Lauterbrunnen","types":["locality","political"]},{"short_name":"Interlaken-Oberhasli","types":["administrative_area_level_2","political"],"long_name":"Interlaken-Oberhasli"},{"long_name":"Bern","types":["administrative_area_level_1","political"],"short_name":"BE"},{"short_name":"CH","long_name":"Switzerland","types":["country","political"]},{"short_name":"3822","types":["postal_code"],"long_name":"3822"},{"short_name":"241B","types":["street_number"],"long_name":"241B"},{"types":["route"],"long_name":"Trümmelbach","short_name":"Trümmelbach"},{"types":["locality","political"],"long_name":"Lauterbrunnen","short_name":"Lauterbrunnen"},{"long_name":"Interlaken-Oberhasli","types":["administrative_area_level_2","political"],"short_name":"Interlaken-Oberhasli"},{"types":["administrative_area_level_1","political"],"short_name":"BE","long_name":"Bern"},{"long_name":"Switzerland","short_name":"CH","types":["country","political"]},{"short_name":"3824","types":["postal_code"],"long_name":"3824"},{"types":["latitude"],"long_name":46.572062,"short_name":46.572062},{"types":["longitude"],"long_name":7.911622299999999,"short_name":7.911622299999999},{"types":["debug_info","cache_load_result"],"long_name":"hit","short_name":"hit"}]</v>
      </c>
      <c r="K80" s="9" t="b">
        <f t="shared" si="113"/>
        <v>1</v>
      </c>
      <c r="L80" s="8" t="b">
        <f t="shared" si="4"/>
        <v>0</v>
      </c>
      <c r="M80" s="10" t="b">
        <v>1</v>
      </c>
      <c r="N80" s="8">
        <f t="shared" si="114"/>
        <v>46.572062</v>
      </c>
      <c r="O80" s="8">
        <f t="shared" si="115"/>
        <v>7.9116223</v>
      </c>
      <c r="P80" s="8" t="str">
        <f t="shared" si="116"/>
        <v>Lauterbrunnen</v>
      </c>
      <c r="Q80" s="8" t="str">
        <f t="shared" si="117"/>
        <v>Bern</v>
      </c>
      <c r="R80" s="8" t="str">
        <f t="shared" si="118"/>
        <v>3822</v>
      </c>
      <c r="S80" s="8" t="str">
        <f t="shared" si="119"/>
        <v>Switzerland</v>
      </c>
      <c r="T80" s="11" t="str">
        <f t="shared" si="120"/>
        <v>Not Driveable</v>
      </c>
      <c r="U80" s="12" t="str">
        <f t="shared" si="121"/>
        <v>Not Driveable</v>
      </c>
      <c r="V80" s="13">
        <f t="shared" si="122"/>
        <v>5271.279531</v>
      </c>
      <c r="W80" s="4"/>
      <c r="X80" s="4" t="str">
        <f t="shared" si="5"/>
        <v>N/A</v>
      </c>
      <c r="Y80" s="4"/>
      <c r="Z80" s="4" t="s">
        <v>38</v>
      </c>
      <c r="AF80" s="4" t="s">
        <v>351</v>
      </c>
    </row>
    <row r="81">
      <c r="A81" s="3" t="s">
        <v>180</v>
      </c>
      <c r="B81" s="4" t="s">
        <v>352</v>
      </c>
      <c r="C81" s="4"/>
      <c r="D81" s="4"/>
      <c r="E81" s="3" t="s">
        <v>43</v>
      </c>
      <c r="F81" s="4" t="s">
        <v>353</v>
      </c>
      <c r="G81" s="6" t="str">
        <f t="shared" si="1"/>
        <v>Link</v>
      </c>
      <c r="H81" s="3" t="s">
        <v>106</v>
      </c>
      <c r="I81" s="8" t="str">
        <f t="shared" si="2"/>
        <v>{"address_components":[{"types":["locality","political"],"long_name":"Puno","short_name":"Puno"},{"short_name":"Puno","types":["administrative_area_level_2","political"],"long_name":"Puno"},{"short_name":"Puno","types":["administrative_area_level_1","political"],"long_name":"Puno"},{"short_name":"PE","long_name":"Peru","types":["country","political"]},{"long_name":"5X5H+W69","types":["plus_code"],"short_name":"5X5H+W69"},{"types":["political","sublocality","sublocality_level_1"],"long_name":"Urb Barrio Victoria","short_name":"Urb Barrio Victoria"},{"long_name":"Puno","short_name":"Puno","types":["locality","political"]},{"types":["administrative_area_level_2","political"],"long_name":"Puno","short_name":"Puno"},{"types":["administrative_area_level_1","political"],"long_name":"Puno","short_name":"Puno"},{"long_name":"Peru","short_name":"PE","types":["country","political"]},{"long_name":"21001","short_name":"21001","types":["postal_code"]},{"types":["latitude"],"long_name":-15.8402218,"short_name":-15.8402218},{"types":["longitude"],"long_name":-70.0218805,"short_name":-70.0218805}]}</v>
      </c>
      <c r="J81" s="8" t="str">
        <f t="shared" si="3"/>
        <v>[{"types":["locality","political"],"long_name":"Puno","short_name":"Puno"},{"short_name":"Puno","types":["administrative_area_level_2","political"],"long_name":"Puno"},{"short_name":"Puno","types":["administrative_area_level_1","political"],"long_name":"Puno"},{"short_name":"PE","long_name":"Peru","types":["country","political"]},{"long_name":"5X5H+W69","types":["plus_code"],"short_name":"5X5H+W69"},{"types":["political","sublocality","sublocality_level_1"],"long_name":"Urb Barrio Victoria","short_name":"Urb Barrio Victoria"},{"long_name":"Puno","short_name":"Puno","types":["locality","political"]},{"types":["administrative_area_level_2","political"],"long_name":"Puno","short_name":"Puno"},{"types":["administrative_area_level_1","political"],"long_name":"Puno","short_name":"Puno"},{"long_name":"Peru","short_name":"PE","types":["country","political"]},{"long_name":"21001","short_name":"21001","types":["postal_code"]},{"types":["latitude"],"long_name":-15.8402218,"short_name":-15.8402218},{"types":["longitude"],"long_name":-70.0218805,"short_name":-70.0218805},{"types":["debug_info","cache_load_result"],"long_name":"hit","short_name":"hit"}]</v>
      </c>
      <c r="K81" s="9" t="b">
        <f>NOT(AND(NOT(_xlfn.ISFORMULA(P81)),AND(NOT(_xlfn.ISFORMULA(Q81)),AND(NOT(_xlfn.ISFORMULA(R81)),AND(NOT(_xlfn.ISFORMULA(S81)),AND(NOT(_xlfn.ISFORMULA(T81)),AND(NOT(_xlfn.ISFORMULA(U81)),AND(NOT(_xlfn.ISFORMULA(V81)),AND(NOT(_xlfn.ISFORMULA(N81)),NOT(_xlfn.ISFORMULA(O81)))))))))))</f>
        <v>0</v>
      </c>
      <c r="L81" s="8" t="b">
        <f t="shared" si="4"/>
        <v>1</v>
      </c>
      <c r="M81" s="10" t="b">
        <v>1</v>
      </c>
      <c r="N81" s="10">
        <v>-15.8402218</v>
      </c>
      <c r="O81" s="10">
        <v>-70.0218805</v>
      </c>
      <c r="P81" s="10" t="s">
        <v>352</v>
      </c>
      <c r="Q81" s="10" t="s">
        <v>352</v>
      </c>
      <c r="R81" s="10">
        <v>21001.0</v>
      </c>
      <c r="S81" s="10" t="s">
        <v>354</v>
      </c>
      <c r="T81" s="19" t="s">
        <v>56</v>
      </c>
      <c r="U81" s="20" t="s">
        <v>56</v>
      </c>
      <c r="V81" s="18">
        <v>5442.29</v>
      </c>
      <c r="W81" s="4"/>
      <c r="X81" s="4" t="str">
        <f t="shared" si="5"/>
        <v>N/A</v>
      </c>
      <c r="Y81" s="4"/>
      <c r="Z81" s="4" t="s">
        <v>38</v>
      </c>
    </row>
    <row r="82">
      <c r="A82" s="3" t="s">
        <v>180</v>
      </c>
      <c r="B82" s="4" t="s">
        <v>355</v>
      </c>
      <c r="C82" s="4"/>
      <c r="D82" s="4"/>
      <c r="E82" s="5"/>
      <c r="F82" s="4" t="s">
        <v>356</v>
      </c>
      <c r="G82" s="6" t="str">
        <f t="shared" si="1"/>
        <v>Link</v>
      </c>
      <c r="H82" s="3" t="s">
        <v>120</v>
      </c>
      <c r="I82" s="8" t="str">
        <f t="shared" si="2"/>
        <v>{"address_components":[{"short_name":"Semey","types":["locality","political"],"long_name":"Semey"},{"short_name":"Abai Region","long_name":"Abai Region","types":["administrative_area_level_1","political"]},{"types":["country","political"],"long_name":"Kazakhstan","short_name":"KZ"},{"short_name":"070000","long_name":"070000","types":["postal_code"]},{"long_name":"C7F2+88M","short_name":"C7F2+88M","types":["plus_code"]},{"long_name":"Semey","short_name":"Semey","types":["locality","political"]},{"long_name":"Semey","short_name":"Semey","types":["administrative_area_level_2","political"]},{"long_name":"Abai Region","short_name":"Abai Region","types":["administrative_area_level_1","political"]},{"short_name":"KZ","types":["country","political"],"long_name":"Kazakhstan"},{"short_name":"070000","types":["postal_code"],"long_name":"070000"},{"types":["latitude"],"long_name":50.4233463,"short_name":50.4233463},{"types":["longitude"],"long_name":80.250811,"short_name":80.250811}],"duration_from":{"days":{"driving":{"2116 4th Ave, Seattle, WA, 98121":"GOOGLE_MAPS_ERROR_CACHED - No route found!"}}},"distance_from":{"mi":{"driving":{"2116 4th Ave, Seattle, WA, 98121":"GOOGLE_MAPS_ERROR_CACHED - No route found!"},"flying":{"2116 4th Ave, Seattle, WA, 98121":5530.94995463979}}}}</v>
      </c>
      <c r="J82" s="8" t="str">
        <f t="shared" si="3"/>
        <v>[{"short_name":"Semey","types":["locality","political"],"long_name":"Semey"},{"short_name":"Abai Region","long_name":"Abai Region","types":["administrative_area_level_1","political"]},{"types":["country","political"],"long_name":"Kazakhstan","short_name":"KZ"},{"short_name":"070000","long_name":"070000","types":["postal_code"]},{"long_name":"C7F2+88M","short_name":"C7F2+88M","types":["plus_code"]},{"long_name":"Semey","short_name":"Semey","types":["locality","political"]},{"long_name":"Semey","short_name":"Semey","types":["administrative_area_level_2","political"]},{"long_name":"Abai Region","short_name":"Abai Region","types":["administrative_area_level_1","political"]},{"short_name":"KZ","types":["country","political"],"long_name":"Kazakhstan"},{"short_name":"070000","types":["postal_code"],"long_name":"070000"},{"types":["latitude"],"long_name":50.4233463,"short_name":50.4233463},{"types":["longitude"],"long_name":80.250811,"short_name":80.250811},{"types":["debug_info","cache_load_result"],"long_name":"hit","short_name":"hit"}]</v>
      </c>
      <c r="K82" s="9" t="b">
        <f>NOT(AND(NOT(_xlfn.ISFORMULA(P82)),AND(NOT(_xlfn.ISFORMULA(Q82)),AND(NOT(_xlfn.ISFORMULA(R82)),AND(NOT(_xlfn.ISFORMULA(S82)),AND(NOT(_xlfn.ISFORMULA(T82)),AND(NOT(_xlfn.ISFORMULA(U82)),AND(NOT(_xlfn.ISFORMULA(V82))))))))))</f>
        <v>1</v>
      </c>
      <c r="L82" s="8" t="b">
        <f t="shared" si="4"/>
        <v>0</v>
      </c>
      <c r="M82" s="15" t="b">
        <v>1</v>
      </c>
      <c r="N82" s="8">
        <f>GOOGLEMAPS_GET_ADDRESS_LATITUDE(F82,true)</f>
        <v>50.4233463</v>
      </c>
      <c r="O82" s="8">
        <f>GOOGLEMAPS_GET_ADDRESS_LONGITUDE(F82,true)</f>
        <v>80.250811</v>
      </c>
      <c r="P82" s="8" t="str">
        <f>GOOGLEMAPS_GET_ADDRESS_CITY(F82,true,false)</f>
        <v>Semey</v>
      </c>
      <c r="Q82" s="8" t="str">
        <f>GOOGLEMAPS_GET_ADDRESS_STATE(F82,true,false)</f>
        <v>Abai Region</v>
      </c>
      <c r="R82" s="8" t="str">
        <f>GOOGLEMAPS_GET_ADDRESS_POSTAL_CODE(F82,false,false)</f>
        <v>070000</v>
      </c>
      <c r="S82" s="8" t="str">
        <f>GOOGLEMAPS_GET_ADDRESS_COUNTRY(F82,true,false)</f>
        <v>Kazakhstan</v>
      </c>
      <c r="T82" s="11" t="str">
        <f>IFERROR(GOOGLEMAPS_DISTANCE("2116 4th Ave, Seattle, WA, 98121", F82, "driving")+0,"Not Driveable")</f>
        <v>Not Driveable</v>
      </c>
      <c r="U82" s="12" t="str">
        <f>iferror(GOOGLEMAPS_DURATION("2116 4th Ave, Seattle, WA, 98121", F82, "driving")+0,"Not Driveable")</f>
        <v>Not Driveable</v>
      </c>
      <c r="V82" s="13">
        <f>GOOGLEMAPS_DISTANCE("2116 4th Ave, Seattle, WA, 98121", F82, "flying")+0</f>
        <v>5530.949955</v>
      </c>
      <c r="W82" s="4"/>
      <c r="X82" s="4" t="str">
        <f t="shared" si="5"/>
        <v>N/A</v>
      </c>
      <c r="Y82" s="4"/>
      <c r="Z82" s="4" t="s">
        <v>38</v>
      </c>
    </row>
    <row r="83">
      <c r="A83" s="3" t="s">
        <v>180</v>
      </c>
      <c r="B83" s="4" t="s">
        <v>357</v>
      </c>
      <c r="E83" s="5"/>
      <c r="F83" s="4" t="s">
        <v>358</v>
      </c>
      <c r="G83" s="6" t="str">
        <f t="shared" si="1"/>
        <v>Link</v>
      </c>
      <c r="H83" s="3" t="s">
        <v>37</v>
      </c>
      <c r="I83" s="8" t="str">
        <f t="shared" si="2"/>
        <v>{"address_components":[{"long_name":"Uralsk","types":["locality","political"],"short_name":"Uralsk"},{"short_name":"West Kazakhstan Region","long_name":"West Kazakhstan Region","types":["administrative_area_level_1","political"]},{"short_name":"KZ","long_name":"Kazakhstan","types":["country","political"]},{"short_name":"69HP+4JF","long_name":"69HP+4JF","types":["plus_code"]},{"long_name":"Uralsk","types":["locality","political"],"short_name":"Uralsk"},{"short_name":"Uralsk","types":["administrative_area_level_2","political"],"long_name":"Uralsk"},{"long_name":"West Kazakhstan Region","types":["administrative_area_level_1","political"],"short_name":"West Kazakhstan Region"},{"short_name":"KZ","long_name":"Kazakhstan","types":["country","political"]},{"types":["latitude"],"long_name":51.227821,"short_name":51.227821},{"types":["longitude"],"long_name":51.3865431,"short_name":51.3865431}]}</v>
      </c>
      <c r="J83" s="8" t="str">
        <f t="shared" si="3"/>
        <v>[{"long_name":"Uralsk","types":["locality","political"],"short_name":"Uralsk"},{"short_name":"West Kazakhstan Region","long_name":"West Kazakhstan Region","types":["administrative_area_level_1","political"]},{"short_name":"KZ","long_name":"Kazakhstan","types":["country","political"]},{"short_name":"69HP+4JF","long_name":"69HP+4JF","types":["plus_code"]},{"long_name":"Uralsk","types":["locality","political"],"short_name":"Uralsk"},{"short_name":"Uralsk","types":["administrative_area_level_2","political"],"long_name":"Uralsk"},{"long_name":"West Kazakhstan Region","types":["administrative_area_level_1","political"],"short_name":"West Kazakhstan Region"},{"short_name":"KZ","long_name":"Kazakhstan","types":["country","political"]},{"types":["latitude"],"long_name":51.227821,"short_name":51.227821},{"types":["longitude"],"long_name":51.3865431,"short_name":51.3865431},{"types":["debug_info","cache_load_result"],"long_name":"hit","short_name":"hit"}]</v>
      </c>
      <c r="K83" s="9" t="b">
        <f t="shared" ref="K83:K84" si="123">NOT(AND(NOT(_xlfn.ISFORMULA(P83)),AND(NOT(_xlfn.ISFORMULA(Q83)),AND(NOT(_xlfn.ISFORMULA(R83)),AND(NOT(_xlfn.ISFORMULA(S83)),AND(NOT(_xlfn.ISFORMULA(T83)),AND(NOT(_xlfn.ISFORMULA(U83)),AND(NOT(_xlfn.ISFORMULA(V83)),AND(NOT(_xlfn.ISFORMULA(N83)),NOT(_xlfn.ISFORMULA(O83)))))))))))</f>
        <v>0</v>
      </c>
      <c r="L83" s="8" t="b">
        <f t="shared" si="4"/>
        <v>0</v>
      </c>
      <c r="M83" s="10" t="b">
        <v>1</v>
      </c>
      <c r="N83" s="10">
        <v>49.31534987</v>
      </c>
      <c r="O83" s="10">
        <v>53.52480791</v>
      </c>
      <c r="P83" s="10" t="s">
        <v>55</v>
      </c>
      <c r="Q83" s="10" t="s">
        <v>55</v>
      </c>
      <c r="R83" s="10" t="s">
        <v>55</v>
      </c>
      <c r="S83" s="10" t="s">
        <v>55</v>
      </c>
      <c r="T83" s="19" t="s">
        <v>56</v>
      </c>
      <c r="U83" s="20" t="s">
        <v>56</v>
      </c>
      <c r="V83" s="18">
        <v>5735.06</v>
      </c>
      <c r="W83" s="4"/>
      <c r="X83" s="4" t="str">
        <f t="shared" si="5"/>
        <v>N/A</v>
      </c>
      <c r="Y83" s="4"/>
      <c r="Z83" s="4" t="s">
        <v>38</v>
      </c>
    </row>
    <row r="84">
      <c r="A84" s="3" t="s">
        <v>180</v>
      </c>
      <c r="B84" s="4" t="s">
        <v>359</v>
      </c>
      <c r="C84" s="4"/>
      <c r="D84" s="4"/>
      <c r="E84" s="5"/>
      <c r="F84" s="4" t="s">
        <v>359</v>
      </c>
      <c r="G84" s="6" t="str">
        <f t="shared" si="1"/>
        <v>Link</v>
      </c>
      <c r="H84" s="3" t="s">
        <v>136</v>
      </c>
      <c r="I84" s="8" t="str">
        <f t="shared" si="2"/>
        <v>{"address_components":[{"types":["locality","political"],"long_name":"Sorrento","short_name":"Sorrento"},{"long_name":"Sorrento","short_name":"Sorrento","types":["administrative_area_level_3","political"]},{"long_name":"Metropolitan City of Naples","short_name":"NA","types":["administrative_area_level_2","political"]},{"long_name":"Campania","short_name":"Campania","types":["administrative_area_level_1","political"]},{"types":["country","political"],"long_name":"Italy","short_name":"IT"},{"long_name":"80067","short_name":"80067","types":["postal_code"]},{"long_name":"Piazza Tasso","short_name":"Piazza Tasso","types":["establishment","point_of_interest","transit_station"]},{"long_name":"Sorrento","short_name":"Sorrento","types":["locality","political"]},{"types":["administrative_area_level_3","political"],"long_name":"Sorrento","short_name":"Sorrento"},{"long_name":"Città Metropolitana di Napoli","short_name":"NA","types":["administrative_area_level_2","political"]},{"types":["administrative_area_level_1","political"],"long_name":"Campania","short_name":"Campania"},{"types":["country","political"],"long_name":"Italy","short_name":"IT"},{"types":["postal_code"],"long_name":"80067","short_name":"80067"},{"types":["latitude"],"long_name":40.6263969,"short_name":40.6263969},{"types":["longitude"],"long_name":14.3764167,"short_name":14.3764167}]}</v>
      </c>
      <c r="J84" s="8" t="str">
        <f t="shared" si="3"/>
        <v>[{"types":["locality","political"],"long_name":"Sorrento","short_name":"Sorrento"},{"long_name":"Sorrento","short_name":"Sorrento","types":["administrative_area_level_3","political"]},{"long_name":"Metropolitan City of Naples","short_name":"NA","types":["administrative_area_level_2","political"]},{"long_name":"Campania","short_name":"Campania","types":["administrative_area_level_1","political"]},{"types":["country","political"],"long_name":"Italy","short_name":"IT"},{"long_name":"80067","short_name":"80067","types":["postal_code"]},{"long_name":"Piazza Tasso","short_name":"Piazza Tasso","types":["establishment","point_of_interest","transit_station"]},{"long_name":"Sorrento","short_name":"Sorrento","types":["locality","political"]},{"types":["administrative_area_level_3","political"],"long_name":"Sorrento","short_name":"Sorrento"},{"long_name":"Città Metropolitana di Napoli","short_name":"NA","types":["administrative_area_level_2","political"]},{"types":["administrative_area_level_1","political"],"long_name":"Campania","short_name":"Campania"},{"types":["country","political"],"long_name":"Italy","short_name":"IT"},{"types":["postal_code"],"long_name":"80067","short_name":"80067"},{"types":["latitude"],"long_name":40.6263969,"short_name":40.6263969},{"types":["longitude"],"long_name":14.3764167,"short_name":14.3764167},{"types":["debug_info","cache_load_result"],"long_name":"hit","short_name":"hit"}]</v>
      </c>
      <c r="K84" s="9" t="b">
        <f t="shared" si="123"/>
        <v>0</v>
      </c>
      <c r="L84" s="8" t="b">
        <f t="shared" si="4"/>
        <v>1</v>
      </c>
      <c r="M84" s="15" t="b">
        <v>1</v>
      </c>
      <c r="N84" s="10">
        <v>40.6262925</v>
      </c>
      <c r="O84" s="10">
        <v>14.3757985</v>
      </c>
      <c r="P84" s="10" t="s">
        <v>360</v>
      </c>
      <c r="Q84" s="10" t="s">
        <v>361</v>
      </c>
      <c r="R84" s="10">
        <v>80067.0</v>
      </c>
      <c r="S84" s="10" t="s">
        <v>362</v>
      </c>
      <c r="T84" s="19" t="s">
        <v>56</v>
      </c>
      <c r="U84" s="20" t="s">
        <v>56</v>
      </c>
      <c r="V84" s="18">
        <v>5788.16</v>
      </c>
      <c r="W84" s="4"/>
      <c r="X84" s="4" t="str">
        <f t="shared" si="5"/>
        <v>N/A</v>
      </c>
      <c r="Y84" s="4"/>
      <c r="Z84" s="4" t="s">
        <v>38</v>
      </c>
      <c r="AC84" s="14" t="s">
        <v>102</v>
      </c>
      <c r="AD84" s="4"/>
      <c r="AE84" s="4"/>
      <c r="AF84" s="4" t="s">
        <v>363</v>
      </c>
    </row>
    <row r="85">
      <c r="A85" s="3" t="s">
        <v>180</v>
      </c>
      <c r="B85" s="4" t="s">
        <v>364</v>
      </c>
      <c r="C85" s="4"/>
      <c r="D85" s="4"/>
      <c r="E85" s="3" t="s">
        <v>43</v>
      </c>
      <c r="F85" s="4" t="s">
        <v>364</v>
      </c>
      <c r="G85" s="6" t="str">
        <f t="shared" si="1"/>
        <v>Link</v>
      </c>
      <c r="H85" s="3" t="s">
        <v>18</v>
      </c>
      <c r="I85" s="8" t="str">
        <f t="shared" si="2"/>
        <v>{"duration_from":{"days":{"driving":{"2116 4th Ave, Seattle, WA, 98121":"GOOGLE_MAPS_ERROR_CACHED - No route found!"}}},"address_components":[{"long_name":"Cabo Verde","short_name":"CV","types":["country","political"]},{"long_name":"GXQ5+G7","short_name":"GXQ5+G7","types":["plus_code"]},{"types":["locality","political"],"short_name":"Santa Maria","long_name":"Santa Maria"},{"long_name":"Sal","short_name":"Sal","types":["administrative_area_level_1","political"]},{"short_name":"CV","types":["country","political"],"long_name":"Cabo Verde"},{"types":["latitude"],"long_name":16.5388,"short_name":16.5388},{"types":["longitude"],"long_name":-23.0418,"short_name":-23.0418}],"distance_from":{"mi":{"flying":{"2116 4th Ave, Seattle, WA, 98121":5798.678340189146},"driving":{"2116 4th Ave, Seattle, WA, 98121":"GOOGLE_MAPS_ERROR_CACHED - No route found!"}}}}</v>
      </c>
      <c r="J85" s="8" t="str">
        <f t="shared" si="3"/>
        <v>[{"long_name":"Cabo Verde","short_name":"CV","types":["country","political"]},{"long_name":"GXQ5+G7","short_name":"GXQ5+G7","types":["plus_code"]},{"types":["locality","political"],"short_name":"Santa Maria","long_name":"Santa Maria"},{"long_name":"Sal","short_name":"Sal","types":["administrative_area_level_1","political"]},{"short_name":"CV","types":["country","political"],"long_name":"Cabo Verde"},{"types":["latitude"],"long_name":16.5388,"short_name":16.5388},{"types":["longitude"],"long_name":-23.0418,"short_name":-23.0418},{"types":["debug_info","cache_load_result"],"long_name":"hit","short_name":"hit"}]</v>
      </c>
      <c r="K85" s="9" t="b">
        <f>NOT(AND(NOT(_xlfn.ISFORMULA(P85)),AND(NOT(_xlfn.ISFORMULA(Q85)),AND(NOT(_xlfn.ISFORMULA(R85)),AND(NOT(_xlfn.ISFORMULA(S85)),AND(NOT(_xlfn.ISFORMULA(T85)),AND(NOT(_xlfn.ISFORMULA(U85)),AND(NOT(_xlfn.ISFORMULA(V85))))))))))</f>
        <v>1</v>
      </c>
      <c r="L85" s="8" t="b">
        <f t="shared" si="4"/>
        <v>0</v>
      </c>
      <c r="M85" s="10" t="b">
        <v>1</v>
      </c>
      <c r="N85" s="8">
        <f>GOOGLEMAPS_GET_ADDRESS_LATITUDE(F85,true)</f>
        <v>16.5388</v>
      </c>
      <c r="O85" s="8">
        <f>GOOGLEMAPS_GET_ADDRESS_LONGITUDE(F85,true)</f>
        <v>-23.0418</v>
      </c>
      <c r="P85" s="8" t="str">
        <f>GOOGLEMAPS_GET_ADDRESS_CITY(F85,true,false)</f>
        <v>Santa Maria</v>
      </c>
      <c r="Q85" s="8" t="str">
        <f>GOOGLEMAPS_GET_ADDRESS_STATE(F85,true,false)</f>
        <v>Sal</v>
      </c>
      <c r="R85" s="8" t="str">
        <f>GOOGLEMAPS_GET_ADDRESS_POSTAL_CODE(F85,false,false)</f>
        <v>UNDEFINED</v>
      </c>
      <c r="S85" s="8" t="str">
        <f>GOOGLEMAPS_GET_ADDRESS_COUNTRY(F85,true,false)</f>
        <v>Cabo Verde</v>
      </c>
      <c r="T85" s="11" t="str">
        <f>IFERROR(GOOGLEMAPS_DISTANCE("2116 4th Ave, Seattle, WA, 98121", F85, "driving")+0,"Not Driveable")</f>
        <v>Not Driveable</v>
      </c>
      <c r="U85" s="12" t="str">
        <f>iferror(GOOGLEMAPS_DURATION("2116 4th Ave, Seattle, WA, 98121", F85, "driving")+0,"Not Driveable")</f>
        <v>Not Driveable</v>
      </c>
      <c r="V85" s="13">
        <f>GOOGLEMAPS_DISTANCE("2116 4th Ave, Seattle, WA, 98121", F85, "flying")+0</f>
        <v>5798.67834</v>
      </c>
      <c r="W85" s="4"/>
      <c r="X85" s="4" t="str">
        <f t="shared" si="5"/>
        <v>N/A</v>
      </c>
      <c r="Y85" s="4"/>
      <c r="Z85" s="4" t="s">
        <v>38</v>
      </c>
    </row>
    <row r="86">
      <c r="A86" s="3" t="s">
        <v>180</v>
      </c>
      <c r="B86" s="4" t="s">
        <v>365</v>
      </c>
      <c r="C86" s="4"/>
      <c r="D86" s="4"/>
      <c r="E86" s="5"/>
      <c r="F86" s="4" t="s">
        <v>365</v>
      </c>
      <c r="G86" s="6" t="str">
        <f t="shared" si="1"/>
        <v>Link</v>
      </c>
      <c r="H86" s="3" t="s">
        <v>45</v>
      </c>
      <c r="I86" s="8" t="str">
        <f t="shared" si="2"/>
        <v>{"address_components":[{"short_name":"Craco","types":["locality","political"],"long_name":"Craco"},{"types":["administrative_area_level_3","political"],"long_name":"Craco","short_name":"Craco"},{"long_name":"Province of Matera","short_name":"MT","types":["administrative_area_level_2","political"]},{"long_name":"Basilicata","short_name":"Basilicata","types":["administrative_area_level_1","political"]},{"short_name":"IT","long_name":"Italy","types":["country","political"]},{"types":["postal_code"],"long_name":"75010","short_name":"75010"},{"long_name":"11","short_name":"11","types":["street_number"]},{"short_name":"Via Sant'Angelo","long_name":"Via Sant'Angelo","types":["route"]},{"types":["locality","political"],"long_name":"Craco","short_name":"Craco"},{"short_name":"Craco","long_name":"Craco","types":["administrative_area_level_3","political"]},{"long_name":"Provincia di Matera","short_name":"MT","types":["administrative_area_level_2","political"]},{"short_name":"Basilicata","long_name":"Basilicata","types":["administrative_area_level_1","political"]},{"short_name":"IT","long_name":"Italy","types":["country","political"]},{"long_name":"75010","short_name":"75010","types":["postal_code"]},{"types":["latitude"],"long_name":40.3813706,"short_name":40.3813706},{"types":["longitude"],"long_name":16.4345756,"short_name":16.4345756}]}</v>
      </c>
      <c r="J86" s="8" t="str">
        <f t="shared" si="3"/>
        <v>[{"short_name":"Craco","types":["locality","political"],"long_name":"Craco"},{"types":["administrative_area_level_3","political"],"long_name":"Craco","short_name":"Craco"},{"long_name":"Province of Matera","short_name":"MT","types":["administrative_area_level_2","political"]},{"long_name":"Basilicata","short_name":"Basilicata","types":["administrative_area_level_1","political"]},{"short_name":"IT","long_name":"Italy","types":["country","political"]},{"types":["postal_code"],"long_name":"75010","short_name":"75010"},{"long_name":"11","short_name":"11","types":["street_number"]},{"short_name":"Via Sant'Angelo","long_name":"Via Sant'Angelo","types":["route"]},{"types":["locality","political"],"long_name":"Craco","short_name":"Craco"},{"short_name":"Craco","long_name":"Craco","types":["administrative_area_level_3","political"]},{"long_name":"Provincia di Matera","short_name":"MT","types":["administrative_area_level_2","political"]},{"short_name":"Basilicata","long_name":"Basilicata","types":["administrative_area_level_1","political"]},{"short_name":"IT","long_name":"Italy","types":["country","political"]},{"long_name":"75010","short_name":"75010","types":["postal_code"]},{"types":["latitude"],"long_name":40.3813706,"short_name":40.3813706},{"types":["longitude"],"long_name":16.4345756,"short_name":16.4345756},{"types":["debug_info","cache_load_result"],"long_name":"hit","short_name":"hit"}]</v>
      </c>
      <c r="K86" s="9" t="b">
        <f t="shared" ref="K86:K87" si="124">NOT(AND(NOT(_xlfn.ISFORMULA(P86)),AND(NOT(_xlfn.ISFORMULA(Q86)),AND(NOT(_xlfn.ISFORMULA(R86)),AND(NOT(_xlfn.ISFORMULA(S86)),AND(NOT(_xlfn.ISFORMULA(T86)),AND(NOT(_xlfn.ISFORMULA(U86)),AND(NOT(_xlfn.ISFORMULA(V86)),AND(NOT(_xlfn.ISFORMULA(N86)),NOT(_xlfn.ISFORMULA(O86)))))))))))</f>
        <v>0</v>
      </c>
      <c r="L86" s="8" t="b">
        <f t="shared" si="4"/>
        <v>1</v>
      </c>
      <c r="M86" s="10" t="b">
        <v>1</v>
      </c>
      <c r="N86" s="10">
        <v>40.3779984</v>
      </c>
      <c r="O86" s="10">
        <v>16.4401613</v>
      </c>
      <c r="P86" s="10" t="s">
        <v>366</v>
      </c>
      <c r="Q86" s="10" t="s">
        <v>367</v>
      </c>
      <c r="R86" s="10">
        <v>75010.0</v>
      </c>
      <c r="S86" s="10" t="s">
        <v>362</v>
      </c>
      <c r="T86" s="19" t="s">
        <v>56</v>
      </c>
      <c r="U86" s="20" t="s">
        <v>56</v>
      </c>
      <c r="V86" s="18">
        <v>5852.83</v>
      </c>
      <c r="X86" s="4" t="str">
        <f t="shared" si="5"/>
        <v>N/A</v>
      </c>
      <c r="Y86" s="4"/>
      <c r="Z86" s="4" t="s">
        <v>38</v>
      </c>
      <c r="AF86" s="4" t="s">
        <v>368</v>
      </c>
    </row>
    <row r="87">
      <c r="A87" s="3" t="s">
        <v>180</v>
      </c>
      <c r="B87" s="4" t="s">
        <v>369</v>
      </c>
      <c r="C87" s="4"/>
      <c r="D87" s="4"/>
      <c r="E87" s="5"/>
      <c r="F87" s="4" t="s">
        <v>370</v>
      </c>
      <c r="G87" s="6" t="str">
        <f t="shared" si="1"/>
        <v>Link</v>
      </c>
      <c r="H87" s="3" t="s">
        <v>331</v>
      </c>
      <c r="I87" s="8" t="str">
        <f t="shared" si="2"/>
        <v>{"address_components":[{"types":["administrative_area_level_2","political"],"long_name":"Carthage","short_name":"Carthage"},{"types":["administrative_area_level_1","political"],"long_name":"Tunis Governorate","short_name":"Tunis Governorate"},{"short_name":"TN","types":["country","political"],"long_name":"Tunisia"},{"types":["plus_code"],"long_name":"V87M+25P","short_name":"V87M+25P"},{"long_name":"Amilcar","short_name":"Amilcar","types":["political","sublocality","sublocality_level_1"]},{"short_name":"Carthage","long_name":"Carthage","types":["locality","political"]},{"short_name":"Carthage","long_name":"Carthage","types":["administrative_area_level_2","political"]},{"short_name":"Tunis Governorate","long_name":"Tunis Governorate","types":["administrative_area_level_1","political"]},{"short_name":"TN","types":["country","political"],"long_name":"Tunisia"},{"types":["latitude"],"long_name":36.8625853,"short_name":36.8625853},{"types":["longitude"],"long_name":10.3329494,"short_name":10.3329494}]}</v>
      </c>
      <c r="J87" s="8" t="str">
        <f t="shared" si="3"/>
        <v>[{"types":["administrative_area_level_2","political"],"long_name":"Carthage","short_name":"Carthage"},{"types":["administrative_area_level_1","political"],"long_name":"Tunis Governorate","short_name":"Tunis Governorate"},{"short_name":"TN","types":["country","political"],"long_name":"Tunisia"},{"types":["plus_code"],"long_name":"V87M+25P","short_name":"V87M+25P"},{"long_name":"Amilcar","short_name":"Amilcar","types":["political","sublocality","sublocality_level_1"]},{"short_name":"Carthage","long_name":"Carthage","types":["locality","political"]},{"short_name":"Carthage","long_name":"Carthage","types":["administrative_area_level_2","political"]},{"short_name":"Tunis Governorate","long_name":"Tunis Governorate","types":["administrative_area_level_1","political"]},{"short_name":"TN","types":["country","political"],"long_name":"Tunisia"},{"types":["latitude"],"long_name":36.8625853,"short_name":36.8625853},{"types":["longitude"],"long_name":10.3329494,"short_name":10.3329494},{"types":["debug_info","cache_load_result"],"long_name":"hit","short_name":"hit"}]</v>
      </c>
      <c r="K87" s="9" t="b">
        <f t="shared" si="124"/>
        <v>0</v>
      </c>
      <c r="L87" s="8" t="b">
        <f t="shared" si="4"/>
        <v>1</v>
      </c>
      <c r="M87" s="10" t="b">
        <v>1</v>
      </c>
      <c r="N87" s="10">
        <v>36.8625853</v>
      </c>
      <c r="O87" s="10">
        <v>10.3329494</v>
      </c>
      <c r="P87" s="10" t="s">
        <v>369</v>
      </c>
      <c r="Q87" s="10" t="s">
        <v>371</v>
      </c>
      <c r="R87" s="27" t="s">
        <v>55</v>
      </c>
      <c r="S87" s="10" t="s">
        <v>372</v>
      </c>
      <c r="T87" s="19" t="s">
        <v>56</v>
      </c>
      <c r="U87" s="20" t="s">
        <v>56</v>
      </c>
      <c r="V87" s="18">
        <v>5911.26</v>
      </c>
      <c r="W87" s="4"/>
      <c r="X87" s="4" t="str">
        <f t="shared" si="5"/>
        <v>N/A</v>
      </c>
      <c r="Y87" s="4"/>
      <c r="Z87" s="4" t="s">
        <v>38</v>
      </c>
    </row>
    <row r="88" hidden="1">
      <c r="A88" s="3" t="s">
        <v>180</v>
      </c>
      <c r="B88" s="4" t="s">
        <v>373</v>
      </c>
      <c r="C88" s="4"/>
      <c r="D88" s="4"/>
      <c r="E88" s="5"/>
      <c r="F88" s="4" t="s">
        <v>374</v>
      </c>
      <c r="G88" s="6" t="str">
        <f t="shared" si="1"/>
        <v>Link</v>
      </c>
      <c r="H88" s="3" t="s">
        <v>120</v>
      </c>
      <c r="I88" s="8" t="str">
        <f t="shared" si="2"/>
        <v>{"duration_from":{"days":{"driving":{"2116 4th Ave, Seattle, WA, 98121":"GOOGLE_MAPS_ERROR_CACHED - No route found!"}}},"address_components":[{"short_name":"Vozrozhdeniya Island","types":["establishment","natural_feature"],"long_name":"Vozrozhdeniya Island"},{"long_name":"Muynak District","short_name":"Muynak District","types":["administrative_area_level_2","political"]},{"long_name":"Republic of Karakalpakstan","short_name":"Republic of Karakalpakstan","types":["administrative_area_level_1","political"]},{"long_name":"Uzbekistan","short_name":"UZ","types":["country","political"]},{"types":["plus_code"],"long_name":"5828+2M","short_name":"5828+2M"},{"long_name":"Kantubek","short_name":"Kantubek","types":["locality","political"]},{"short_name":"Muynak District","types":["administrative_area_level_2","political"],"long_name":"Muynak District"},{"types":["administrative_area_level_1","political"],"short_name":"Republic of Karakalpakstan","long_name":"Republic of Karakalpakstan"},{"long_name":"Uzbekistan","short_name":"UZ","types":["country","political"]},{"types":["latitude"],"long_name":45.15,"short_name":45.15},{"types":["longitude"],"long_name":59.316667,"short_name":59.316667}],"distance_from":{"mi":{"flying":{"2116 4th Ave, Seattle, WA, 98121":6026.620850783552},"driving":{"2116 4th Ave, Seattle, WA, 98121":"GOOGLE_MAPS_ERROR_CACHED - No route found!"}}}}</v>
      </c>
      <c r="J88" s="8" t="str">
        <f t="shared" si="3"/>
        <v>[{"short_name":"Vozrozhdeniya Island","types":["establishment","natural_feature"],"long_name":"Vozrozhdeniya Island"},{"long_name":"Muynak District","short_name":"Muynak District","types":["administrative_area_level_2","political"]},{"long_name":"Republic of Karakalpakstan","short_name":"Republic of Karakalpakstan","types":["administrative_area_level_1","political"]},{"long_name":"Uzbekistan","short_name":"UZ","types":["country","political"]},{"types":["plus_code"],"long_name":"5828+2M","short_name":"5828+2M"},{"long_name":"Kantubek","short_name":"Kantubek","types":["locality","political"]},{"short_name":"Muynak District","types":["administrative_area_level_2","political"],"long_name":"Muynak District"},{"types":["administrative_area_level_1","political"],"short_name":"Republic of Karakalpakstan","long_name":"Republic of Karakalpakstan"},{"long_name":"Uzbekistan","short_name":"UZ","types":["country","political"]},{"types":["latitude"],"long_name":45.15,"short_name":45.15},{"types":["longitude"],"long_name":59.316667,"short_name":59.316667},{"types":["debug_info","cache_load_result"],"long_name":"hit","short_name":"hit"}]</v>
      </c>
      <c r="K88" s="9" t="b">
        <f t="shared" ref="K88:K96" si="125">NOT(AND(NOT(_xlfn.ISFORMULA(P88)),AND(NOT(_xlfn.ISFORMULA(Q88)),AND(NOT(_xlfn.ISFORMULA(R88)),AND(NOT(_xlfn.ISFORMULA(S88)),AND(NOT(_xlfn.ISFORMULA(T88)),AND(NOT(_xlfn.ISFORMULA(U88)),AND(NOT(_xlfn.ISFORMULA(V88))))))))))</f>
        <v>1</v>
      </c>
      <c r="L88" s="8" t="b">
        <f t="shared" si="4"/>
        <v>0</v>
      </c>
      <c r="M88" s="10" t="b">
        <v>1</v>
      </c>
      <c r="N88" s="8">
        <f t="shared" ref="N88:N96" si="126">GOOGLEMAPS_GET_ADDRESS_LATITUDE(F88,true)</f>
        <v>45.15</v>
      </c>
      <c r="O88" s="8">
        <f t="shared" ref="O88:O96" si="127">GOOGLEMAPS_GET_ADDRESS_LONGITUDE(F88,true)</f>
        <v>59.316667</v>
      </c>
      <c r="P88" s="8" t="str">
        <f t="shared" ref="P88:P96" si="128">GOOGLEMAPS_GET_ADDRESS_CITY(F88,true,false)</f>
        <v>Kantubek</v>
      </c>
      <c r="Q88" s="8" t="str">
        <f t="shared" ref="Q88:Q96" si="129">GOOGLEMAPS_GET_ADDRESS_STATE(F88,true,false)</f>
        <v>Republic of Karakalpakstan</v>
      </c>
      <c r="R88" s="8" t="str">
        <f t="shared" ref="R88:R96" si="130">GOOGLEMAPS_GET_ADDRESS_POSTAL_CODE(F88,false,false)</f>
        <v>UNDEFINED</v>
      </c>
      <c r="S88" s="8" t="str">
        <f t="shared" ref="S88:S96" si="131">GOOGLEMAPS_GET_ADDRESS_COUNTRY(F88,true,false)</f>
        <v>Uzbekistan</v>
      </c>
      <c r="T88" s="11" t="str">
        <f t="shared" ref="T88:T96" si="132">IFERROR(GOOGLEMAPS_DISTANCE("2116 4th Ave, Seattle, WA, 98121", F88, "driving")+0,"Not Driveable")</f>
        <v>Not Driveable</v>
      </c>
      <c r="U88" s="12" t="str">
        <f t="shared" ref="U88:U96" si="133">iferror(GOOGLEMAPS_DURATION("2116 4th Ave, Seattle, WA, 98121", F88, "driving")+0,"Not Driveable")</f>
        <v>Not Driveable</v>
      </c>
      <c r="V88" s="13">
        <f t="shared" ref="V88:V96" si="134">GOOGLEMAPS_DISTANCE("2116 4th Ave, Seattle, WA, 98121", F88, "flying")+0</f>
        <v>6026.620851</v>
      </c>
      <c r="W88" s="4"/>
      <c r="X88" s="4" t="str">
        <f t="shared" si="5"/>
        <v>N/A</v>
      </c>
      <c r="Y88" s="4"/>
      <c r="Z88" s="4" t="s">
        <v>38</v>
      </c>
      <c r="AB88" s="14" t="s">
        <v>375</v>
      </c>
    </row>
    <row r="89">
      <c r="A89" s="3" t="s">
        <v>180</v>
      </c>
      <c r="B89" s="4" t="s">
        <v>376</v>
      </c>
      <c r="C89" s="4"/>
      <c r="D89" s="4"/>
      <c r="E89" s="5"/>
      <c r="F89" s="4" t="s">
        <v>377</v>
      </c>
      <c r="G89" s="6" t="str">
        <f t="shared" si="1"/>
        <v>Link</v>
      </c>
      <c r="H89" s="3" t="s">
        <v>45</v>
      </c>
      <c r="I89" s="8" t="str">
        <f t="shared" si="2"/>
        <v>{"distance_from":{"mi":{"driving":{"2116 4th Ave, Seattle, WA, 98121":"GOOGLE_MAPS_ERROR_CACHED - No route found!"},"flying":{"2116 4th Ave, Seattle, WA, 98121":6110.8243130724395}}},"address_components":[{"long_name":"Tkvarcheli","short_name":"Tkvarcheli","types":["locality","political"]},{"long_name":"RMXP+RJ","short_name":"RMXP+RJ","types":["plus_code"]},{"types":["locality","political"],"long_name":"Tkvarcheli","short_name":"Tkvarcheli"},{"types":["latitude"],"long_name":42.8496129,"short_name":42.8496129},{"types":["longitude"],"long_name":41.6866213,"short_name":41.6866213}],"duration_from":{"days":{"driving":{"2116 4th Ave, Seattle, WA, 98121":"GOOGLE_MAPS_ERROR_CACHED - No route found!"}}}}</v>
      </c>
      <c r="J89" s="8" t="str">
        <f t="shared" si="3"/>
        <v>[{"long_name":"Tkvarcheli","short_name":"Tkvarcheli","types":["locality","political"]},{"long_name":"RMXP+RJ","short_name":"RMXP+RJ","types":["plus_code"]},{"types":["locality","political"],"long_name":"Tkvarcheli","short_name":"Tkvarcheli"},{"types":["latitude"],"long_name":42.8496129,"short_name":42.8496129},{"types":["longitude"],"long_name":41.6866213,"short_name":41.6866213},{"types":["debug_info","cache_load_result"],"long_name":"hit","short_name":"hit"}]</v>
      </c>
      <c r="K89" s="9" t="b">
        <f t="shared" si="125"/>
        <v>1</v>
      </c>
      <c r="L89" s="8" t="b">
        <f t="shared" si="4"/>
        <v>0</v>
      </c>
      <c r="M89" s="10" t="b">
        <v>1</v>
      </c>
      <c r="N89" s="8">
        <f t="shared" si="126"/>
        <v>42.8496129</v>
      </c>
      <c r="O89" s="8">
        <f t="shared" si="127"/>
        <v>41.6866213</v>
      </c>
      <c r="P89" s="8" t="str">
        <f t="shared" si="128"/>
        <v>Tkvarcheli</v>
      </c>
      <c r="Q89" s="8" t="str">
        <f t="shared" si="129"/>
        <v>UNDEFINED</v>
      </c>
      <c r="R89" s="8" t="str">
        <f t="shared" si="130"/>
        <v>UNDEFINED</v>
      </c>
      <c r="S89" s="8" t="str">
        <f t="shared" si="131"/>
        <v>UNDEFINED</v>
      </c>
      <c r="T89" s="11" t="str">
        <f t="shared" si="132"/>
        <v>Not Driveable</v>
      </c>
      <c r="U89" s="12" t="str">
        <f t="shared" si="133"/>
        <v>Not Driveable</v>
      </c>
      <c r="V89" s="13">
        <f t="shared" si="134"/>
        <v>6110.824313</v>
      </c>
      <c r="X89" s="4" t="str">
        <f t="shared" si="5"/>
        <v>N/A</v>
      </c>
      <c r="Y89" s="4"/>
      <c r="Z89" s="4" t="s">
        <v>38</v>
      </c>
      <c r="AF89" s="4" t="s">
        <v>378</v>
      </c>
    </row>
    <row r="90">
      <c r="A90" s="3" t="s">
        <v>180</v>
      </c>
      <c r="B90" s="4" t="s">
        <v>379</v>
      </c>
      <c r="C90" s="4"/>
      <c r="D90" s="4"/>
      <c r="E90" s="3" t="s">
        <v>43</v>
      </c>
      <c r="F90" s="4" t="s">
        <v>379</v>
      </c>
      <c r="G90" s="6" t="str">
        <f t="shared" si="1"/>
        <v>Link</v>
      </c>
      <c r="H90" s="3" t="s">
        <v>18</v>
      </c>
      <c r="I90" s="8" t="str">
        <f t="shared" si="2"/>
        <v>{"address_components":[{"short_name":"SN","long_name":"Senegal","types":["country","political"]},{"short_name":"FGWX+X3","long_name":"FGWX+X3","types":["plus_code"]},{"long_name":"Darou Rhamane","short_name":"Darou Rhamane","types":["locality","political"]},{"long_name":"Koumpentoum","short_name":"Koumpentoum","types":["administrative_area_level_2","political"]},{"types":["administrative_area_level_1","political"],"long_name":"Région de Tambacounda","short_name":"Région de Tambacounda"},{"types":["country","political"],"long_name":"Senegal","short_name":"SN"},{"types":["latitude"],"long_name":14.497401,"short_name":14.497401},{"types":["longitude"],"long_name":-14.452362,"short_name":-14.452362}],"distance_from":{"mi":{"driving":{"2116 4th Ave, Seattle, WA, 98121":"GOOGLE_MAPS_ERROR_CACHED - No route found!"},"flying":{"2116 4th Ave, Seattle, WA, 98121":6280.083139672164}}},"duration_from":{"days":{"driving":{"2116 4th Ave, Seattle, WA, 98121":"GOOGLE_MAPS_ERROR_CACHED - No route found!"}}}}</v>
      </c>
      <c r="J90" s="8" t="str">
        <f t="shared" si="3"/>
        <v>[{"short_name":"SN","long_name":"Senegal","types":["country","political"]},{"short_name":"FGWX+X3","long_name":"FGWX+X3","types":["plus_code"]},{"long_name":"Darou Rhamane","short_name":"Darou Rhamane","types":["locality","political"]},{"long_name":"Koumpentoum","short_name":"Koumpentoum","types":["administrative_area_level_2","political"]},{"types":["administrative_area_level_1","political"],"long_name":"Région de Tambacounda","short_name":"Région de Tambacounda"},{"types":["country","political"],"long_name":"Senegal","short_name":"SN"},{"types":["latitude"],"long_name":14.497401,"short_name":14.497401},{"types":["longitude"],"long_name":-14.452362,"short_name":-14.452362},{"types":["debug_info","cache_load_result"],"long_name":"hit","short_name":"hit"}]</v>
      </c>
      <c r="K90" s="9" t="b">
        <f t="shared" si="125"/>
        <v>1</v>
      </c>
      <c r="L90" s="8" t="b">
        <f t="shared" si="4"/>
        <v>0</v>
      </c>
      <c r="M90" s="10" t="b">
        <v>1</v>
      </c>
      <c r="N90" s="8">
        <f t="shared" si="126"/>
        <v>14.497401</v>
      </c>
      <c r="O90" s="8">
        <f t="shared" si="127"/>
        <v>-14.452362</v>
      </c>
      <c r="P90" s="8" t="str">
        <f t="shared" si="128"/>
        <v>Darou Rhamane</v>
      </c>
      <c r="Q90" s="8" t="str">
        <f t="shared" si="129"/>
        <v>Région de Tambacounda</v>
      </c>
      <c r="R90" s="8" t="str">
        <f t="shared" si="130"/>
        <v>UNDEFINED</v>
      </c>
      <c r="S90" s="8" t="str">
        <f t="shared" si="131"/>
        <v>Senegal</v>
      </c>
      <c r="T90" s="11" t="str">
        <f t="shared" si="132"/>
        <v>Not Driveable</v>
      </c>
      <c r="U90" s="12" t="str">
        <f t="shared" si="133"/>
        <v>Not Driveable</v>
      </c>
      <c r="V90" s="13">
        <f t="shared" si="134"/>
        <v>6280.08314</v>
      </c>
      <c r="W90" s="4"/>
      <c r="X90" s="4" t="str">
        <f t="shared" si="5"/>
        <v>N/A</v>
      </c>
      <c r="Y90" s="4"/>
      <c r="Z90" s="4" t="s">
        <v>38</v>
      </c>
    </row>
    <row r="91">
      <c r="A91" s="3" t="s">
        <v>180</v>
      </c>
      <c r="B91" s="4" t="s">
        <v>380</v>
      </c>
      <c r="C91" s="4"/>
      <c r="D91" s="4"/>
      <c r="E91" s="5"/>
      <c r="F91" s="4" t="s">
        <v>381</v>
      </c>
      <c r="G91" s="6" t="str">
        <f t="shared" si="1"/>
        <v>Link</v>
      </c>
      <c r="H91" s="3" t="s">
        <v>45</v>
      </c>
      <c r="I91" s="8" t="str">
        <f t="shared" si="2"/>
        <v>{"address_components":[{"short_name":"Kayaköy","types":["locality","political"],"long_name":"Kayaköy"},{"types":["administrative_area_level_4","political"],"long_name":"Kayaköy","short_name":"Kayaköy"},{"types":["administrative_area_level_2","political"],"long_name":"Fethiye","short_name":"Fethiye"},{"long_name":"Muğla","types":["administrative_area_level_1","political"],"short_name":"Muğla"},{"types":["country","political"],"long_name":"Türkiye","short_name":"TR"},{"long_name":"48300","types":["postal_code"],"short_name":"48300"},{"long_name":"H3GR+25","short_name":"H3GR+25","types":["plus_code"]},{"types":["administrative_area_level_4","political"],"long_name":"Kayaköy","short_name":"Kayaköy"},{"short_name":"Fethiye","types":["administrative_area_level_2","political"],"long_name":"Fethiye"},{"types":["administrative_area_level_1","political"],"long_name":"Muğla","short_name":"Muğla"},{"types":["country","political"],"short_name":"TR","long_name":"Türkiye"},{"long_name":"48300","short_name":"48300","types":["postal_code"]},{"types":["latitude"],"long_name":36.574983,"short_name":36.574983},{"types":["longitude"],"long_name":29.091094,"short_name":29.091094}],"distance_from":{"mi":{"flying":{"2116 4th Ave, Seattle, WA, 98121":6358.315831334585},"driving":{"2116 4th Ave, Seattle, WA, 98121":"GOOGLE_MAPS_ERROR_CACHED - No route found!"}}},"duration_from":{"days":{"driving":{"2116 4th Ave, Seattle, WA, 98121":"GOOGLE_MAPS_ERROR_CACHED - No route found!"}}}}</v>
      </c>
      <c r="J91" s="8" t="str">
        <f t="shared" si="3"/>
        <v>[{"short_name":"Kayaköy","types":["locality","political"],"long_name":"Kayaköy"},{"types":["administrative_area_level_4","political"],"long_name":"Kayaköy","short_name":"Kayaköy"},{"types":["administrative_area_level_2","political"],"long_name":"Fethiye","short_name":"Fethiye"},{"long_name":"Muğla","types":["administrative_area_level_1","political"],"short_name":"Muğla"},{"types":["country","political"],"long_name":"Türkiye","short_name":"TR"},{"long_name":"48300","types":["postal_code"],"short_name":"48300"},{"long_name":"H3GR+25","short_name":"H3GR+25","types":["plus_code"]},{"types":["administrative_area_level_4","political"],"long_name":"Kayaköy","short_name":"Kayaköy"},{"short_name":"Fethiye","types":["administrative_area_level_2","political"],"long_name":"Fethiye"},{"types":["administrative_area_level_1","political"],"long_name":"Muğla","short_name":"Muğla"},{"types":["country","political"],"short_name":"TR","long_name":"Türkiye"},{"long_name":"48300","short_name":"48300","types":["postal_code"]},{"types":["latitude"],"long_name":36.574983,"short_name":36.574983},{"types":["longitude"],"long_name":29.091094,"short_name":29.091094},{"types":["debug_info","cache_load_result"],"long_name":"hit","short_name":"hit"}]</v>
      </c>
      <c r="K91" s="9" t="b">
        <f t="shared" si="125"/>
        <v>1</v>
      </c>
      <c r="L91" s="8" t="b">
        <f t="shared" si="4"/>
        <v>0</v>
      </c>
      <c r="M91" s="10" t="b">
        <v>1</v>
      </c>
      <c r="N91" s="8">
        <f t="shared" si="126"/>
        <v>36.574983</v>
      </c>
      <c r="O91" s="8">
        <f t="shared" si="127"/>
        <v>29.091094</v>
      </c>
      <c r="P91" s="8" t="str">
        <f t="shared" si="128"/>
        <v>Kayaköy</v>
      </c>
      <c r="Q91" s="8" t="str">
        <f t="shared" si="129"/>
        <v>Muğla</v>
      </c>
      <c r="R91" s="8" t="str">
        <f t="shared" si="130"/>
        <v>48300</v>
      </c>
      <c r="S91" s="8" t="str">
        <f t="shared" si="131"/>
        <v>Türkiye</v>
      </c>
      <c r="T91" s="11" t="str">
        <f t="shared" si="132"/>
        <v>Not Driveable</v>
      </c>
      <c r="U91" s="12" t="str">
        <f t="shared" si="133"/>
        <v>Not Driveable</v>
      </c>
      <c r="V91" s="13">
        <f t="shared" si="134"/>
        <v>6358.315831</v>
      </c>
      <c r="W91" s="4"/>
      <c r="X91" s="4" t="str">
        <f t="shared" si="5"/>
        <v>N/A</v>
      </c>
      <c r="Y91" s="4"/>
      <c r="Z91" s="4" t="s">
        <v>38</v>
      </c>
      <c r="AC91" s="14" t="s">
        <v>102</v>
      </c>
      <c r="AD91" s="4"/>
    </row>
    <row r="92">
      <c r="A92" s="3" t="s">
        <v>180</v>
      </c>
      <c r="B92" s="4" t="s">
        <v>382</v>
      </c>
      <c r="C92" s="4"/>
      <c r="D92" s="4"/>
      <c r="E92" s="5"/>
      <c r="F92" s="4" t="s">
        <v>383</v>
      </c>
      <c r="G92" s="6" t="str">
        <f t="shared" si="1"/>
        <v>Link</v>
      </c>
      <c r="H92" s="3" t="s">
        <v>37</v>
      </c>
      <c r="I92" s="8" t="str">
        <f t="shared" si="2"/>
        <v>{"duration_from":{"days":{"driving":{"2116 4th Ave, Seattle, WA, 98121":"GOOGLE_MAPS_ERROR_CACHED - No route found!"}}},"distance_from":{"mi":{"flying":{"2116 4th Ave, Seattle, WA, 98121":6365.600805299067},"driving":{"2116 4th Ave, Seattle, WA, 98121":"GOOGLE_MAPS_ERROR_CACHED - No route found!"}}},"address_components":[{"long_name":"Derweze","types":["locality","political"],"short_name":"Derweze"},{"long_name":"Daşoguz Region","short_name":"Daşoguz Region","types":["administrative_area_level_1","political"]},{"long_name":"Turkmenistan","short_name":"TM","types":["country","political"]},{"short_name":"7C3Q+2V","types":["plus_code"],"long_name":"7C3Q+2V"},{"types":["locality","political"],"long_name":"Derweze","short_name":"Derweze"},{"types":["administrative_area_level_1","political"],"long_name":"Daşoguz Region","short_name":"Daşoguz Region"},{"short_name":"TM","types":["country","political"],"long_name":"Turkmenistan"},{"types":["latitude"],"long_name":40.2525742,"short_name":40.2525742},{"types":["longitude"],"long_name":58.4396793,"short_name":58.4396793}]}</v>
      </c>
      <c r="J92" s="8" t="str">
        <f t="shared" si="3"/>
        <v>[{"long_name":"Derweze","types":["locality","political"],"short_name":"Derweze"},{"long_name":"Daşoguz Region","short_name":"Daşoguz Region","types":["administrative_area_level_1","political"]},{"long_name":"Turkmenistan","short_name":"TM","types":["country","political"]},{"short_name":"7C3Q+2V","types":["plus_code"],"long_name":"7C3Q+2V"},{"types":["locality","political"],"long_name":"Derweze","short_name":"Derweze"},{"types":["administrative_area_level_1","political"],"long_name":"Daşoguz Region","short_name":"Daşoguz Region"},{"short_name":"TM","types":["country","political"],"long_name":"Turkmenistan"},{"types":["latitude"],"long_name":40.2525742,"short_name":40.2525742},{"types":["longitude"],"long_name":58.4396793,"short_name":58.4396793},{"types":["debug_info","cache_load_result"],"long_name":"hit","short_name":"hit"}]</v>
      </c>
      <c r="K92" s="9" t="b">
        <f t="shared" si="125"/>
        <v>1</v>
      </c>
      <c r="L92" s="8" t="b">
        <f t="shared" si="4"/>
        <v>0</v>
      </c>
      <c r="M92" s="10" t="b">
        <v>1</v>
      </c>
      <c r="N92" s="8">
        <f t="shared" si="126"/>
        <v>40.2525742</v>
      </c>
      <c r="O92" s="8">
        <f t="shared" si="127"/>
        <v>58.4396793</v>
      </c>
      <c r="P92" s="8" t="str">
        <f t="shared" si="128"/>
        <v>Derweze</v>
      </c>
      <c r="Q92" s="8" t="str">
        <f t="shared" si="129"/>
        <v>Daşoguz Region</v>
      </c>
      <c r="R92" s="8" t="str">
        <f t="shared" si="130"/>
        <v>UNDEFINED</v>
      </c>
      <c r="S92" s="8" t="str">
        <f t="shared" si="131"/>
        <v>Turkmenistan</v>
      </c>
      <c r="T92" s="11" t="str">
        <f t="shared" si="132"/>
        <v>Not Driveable</v>
      </c>
      <c r="U92" s="12" t="str">
        <f t="shared" si="133"/>
        <v>Not Driveable</v>
      </c>
      <c r="V92" s="13">
        <f t="shared" si="134"/>
        <v>6365.600805</v>
      </c>
      <c r="W92" s="4"/>
      <c r="X92" s="4" t="str">
        <f t="shared" si="5"/>
        <v>N/A</v>
      </c>
      <c r="Y92" s="4"/>
      <c r="Z92" s="4" t="s">
        <v>38</v>
      </c>
    </row>
    <row r="93">
      <c r="A93" s="3" t="s">
        <v>180</v>
      </c>
      <c r="B93" s="4" t="s">
        <v>384</v>
      </c>
      <c r="C93" s="4" t="s">
        <v>385</v>
      </c>
      <c r="D93" s="4"/>
      <c r="E93" s="5"/>
      <c r="F93" s="4" t="s">
        <v>384</v>
      </c>
      <c r="G93" s="6" t="str">
        <f t="shared" si="1"/>
        <v>Link</v>
      </c>
      <c r="H93" s="3" t="s">
        <v>45</v>
      </c>
      <c r="I93" s="8" t="str">
        <f t="shared" si="2"/>
        <v>{"address_components":[{"types":["locality","political"],"long_name":"Sfendili","short_name":"Sfendili"},{"short_name":"Iraklio","types":["administrative_area_level_3","political"],"long_name":"Iraklio"},{"long_name":"Greece","short_name":"GR","types":["country","political"]},{"long_name":"700 05","short_name":"700 05","types":["postal_code"]},{"short_name":"6CV6+X4","long_name":"6CV6+X4","types":["plus_code"]},{"long_name":"Sfendili","short_name":"Sfendili","types":["locality","political"]},{"long_name":"Iraklio","short_name":"Iraklio","types":["administrative_area_level_3","political"]},{"long_name":"Greece","short_name":"GR","types":["country","political"]},{"long_name":"700 05","short_name":"700 05","types":["postal_code"]},{"types":["latitude"],"long_name":35.2449527,"short_name":35.2449527},{"types":["longitude"],"long_name":25.410326,"short_name":25.410326}],"duration_from":{"days":{"driving":{"2116 4th Ave, Seattle, WA, 98121":"GOOGLE_MAPS_ERROR_CACHED - No route found!"}}},"distance_from":{"mi":{"flying":{"2116 4th Ave, Seattle, WA, 98121":6374.357189903936},"driving":{"2116 4th Ave, Seattle, WA, 98121":"GOOGLE_MAPS_ERROR_CACHED - No route found!"}}}}</v>
      </c>
      <c r="J93" s="8" t="str">
        <f t="shared" si="3"/>
        <v>[{"types":["locality","political"],"long_name":"Sfendili","short_name":"Sfendili"},{"short_name":"Iraklio","types":["administrative_area_level_3","political"],"long_name":"Iraklio"},{"long_name":"Greece","short_name":"GR","types":["country","political"]},{"long_name":"700 05","short_name":"700 05","types":["postal_code"]},{"short_name":"6CV6+X4","long_name":"6CV6+X4","types":["plus_code"]},{"long_name":"Sfendili","short_name":"Sfendili","types":["locality","political"]},{"long_name":"Iraklio","short_name":"Iraklio","types":["administrative_area_level_3","political"]},{"long_name":"Greece","short_name":"GR","types":["country","political"]},{"long_name":"700 05","short_name":"700 05","types":["postal_code"]},{"types":["latitude"],"long_name":35.2449527,"short_name":35.2449527},{"types":["longitude"],"long_name":25.410326,"short_name":25.410326},{"types":["debug_info","cache_load_result"],"long_name":"hit","short_name":"hit"}]</v>
      </c>
      <c r="K93" s="9" t="b">
        <f t="shared" si="125"/>
        <v>1</v>
      </c>
      <c r="L93" s="8" t="b">
        <f t="shared" si="4"/>
        <v>0</v>
      </c>
      <c r="M93" s="15" t="b">
        <v>1</v>
      </c>
      <c r="N93" s="8">
        <f t="shared" si="126"/>
        <v>35.2449527</v>
      </c>
      <c r="O93" s="8">
        <f t="shared" si="127"/>
        <v>25.410326</v>
      </c>
      <c r="P93" s="8" t="str">
        <f t="shared" si="128"/>
        <v>Sfendili</v>
      </c>
      <c r="Q93" s="8" t="str">
        <f t="shared" si="129"/>
        <v>UNDEFINED</v>
      </c>
      <c r="R93" s="8" t="str">
        <f t="shared" si="130"/>
        <v>700 05</v>
      </c>
      <c r="S93" s="8" t="str">
        <f t="shared" si="131"/>
        <v>Greece</v>
      </c>
      <c r="T93" s="11" t="str">
        <f t="shared" si="132"/>
        <v>Not Driveable</v>
      </c>
      <c r="U93" s="12" t="str">
        <f t="shared" si="133"/>
        <v>Not Driveable</v>
      </c>
      <c r="V93" s="13">
        <f t="shared" si="134"/>
        <v>6374.35719</v>
      </c>
      <c r="X93" s="4" t="str">
        <f t="shared" si="5"/>
        <v>N/A</v>
      </c>
      <c r="Y93" s="4"/>
      <c r="Z93" s="4" t="s">
        <v>38</v>
      </c>
      <c r="AF93" s="4" t="s">
        <v>386</v>
      </c>
    </row>
    <row r="94">
      <c r="A94" s="3" t="s">
        <v>180</v>
      </c>
      <c r="B94" s="4" t="s">
        <v>387</v>
      </c>
      <c r="C94" s="4"/>
      <c r="D94" s="4"/>
      <c r="E94" s="5"/>
      <c r="F94" s="4" t="s">
        <v>387</v>
      </c>
      <c r="G94" s="6" t="str">
        <f t="shared" si="1"/>
        <v>Link</v>
      </c>
      <c r="H94" s="3" t="s">
        <v>45</v>
      </c>
      <c r="I94" s="8" t="str">
        <f t="shared" si="2"/>
        <v>{"duration_from":{"days":{"driving":{"2116 4th Ave, Seattle, WA, 98121":"GOOGLE_MAPS_ERROR_CACHED - No route found!"}}},"address_components":[{"long_name":"Maraş","short_name":"Maraş","types":["neighborhood","political"]},{"long_name":"Gazimağusa","short_name":"Gazimağusa","types":["locality","political"]},{"short_name":"99450","types":["postal_code"],"long_name":"99450"},{"types":["plus_code"],"long_name":"4X44+85X","short_name":"4X44+85X"},{"long_name":"Gazimağusa","short_name":"Gazimağusa","types":["locality","political"]},{"types":["postal_code"],"long_name":"99450","short_name":"99450"},{"types":["latitude"],"long_name":35.1059469,"short_name":35.1059469},{"types":["longitude"],"long_name":33.9557487,"short_name":33.9557487}],"distance_from":{"mi":{"flying":{"2116 4th Ave, Seattle, WA, 98121":6536.212981719214},"driving":{"2116 4th Ave, Seattle, WA, 98121":"GOOGLE_MAPS_ERROR_CACHED - No route found!"}}}}</v>
      </c>
      <c r="J94" s="8" t="str">
        <f t="shared" si="3"/>
        <v>[{"long_name":"Maraş","short_name":"Maraş","types":["neighborhood","political"]},{"long_name":"Gazimağusa","short_name":"Gazimağusa","types":["locality","political"]},{"short_name":"99450","types":["postal_code"],"long_name":"99450"},{"types":["plus_code"],"long_name":"4X44+85X","short_name":"4X44+85X"},{"long_name":"Gazimağusa","short_name":"Gazimağusa","types":["locality","political"]},{"types":["postal_code"],"long_name":"99450","short_name":"99450"},{"types":["latitude"],"long_name":35.1059469,"short_name":35.1059469},{"types":["longitude"],"long_name":33.9557487,"short_name":33.9557487},{"types":["debug_info","cache_load_result"],"long_name":"hit","short_name":"hit"}]</v>
      </c>
      <c r="K94" s="9" t="b">
        <f t="shared" si="125"/>
        <v>1</v>
      </c>
      <c r="L94" s="8" t="b">
        <f t="shared" si="4"/>
        <v>0</v>
      </c>
      <c r="M94" s="10" t="b">
        <v>1</v>
      </c>
      <c r="N94" s="8">
        <f t="shared" si="126"/>
        <v>35.1059469</v>
      </c>
      <c r="O94" s="8">
        <f t="shared" si="127"/>
        <v>33.9557487</v>
      </c>
      <c r="P94" s="8" t="str">
        <f t="shared" si="128"/>
        <v>Gazimağusa</v>
      </c>
      <c r="Q94" s="8" t="str">
        <f t="shared" si="129"/>
        <v>UNDEFINED</v>
      </c>
      <c r="R94" s="8" t="str">
        <f t="shared" si="130"/>
        <v>99450</v>
      </c>
      <c r="S94" s="8" t="str">
        <f t="shared" si="131"/>
        <v>Singapore</v>
      </c>
      <c r="T94" s="11" t="str">
        <f t="shared" si="132"/>
        <v>Not Driveable</v>
      </c>
      <c r="U94" s="12" t="str">
        <f t="shared" si="133"/>
        <v>Not Driveable</v>
      </c>
      <c r="V94" s="13">
        <f t="shared" si="134"/>
        <v>6536.212982</v>
      </c>
      <c r="W94" s="4"/>
      <c r="X94" s="4" t="str">
        <f t="shared" si="5"/>
        <v>N/A</v>
      </c>
      <c r="Y94" s="4"/>
      <c r="Z94" s="4" t="s">
        <v>38</v>
      </c>
      <c r="AA94" s="4"/>
      <c r="AB94" s="14" t="s">
        <v>103</v>
      </c>
      <c r="AF94" s="4" t="s">
        <v>388</v>
      </c>
    </row>
    <row r="95" hidden="1">
      <c r="A95" s="3" t="s">
        <v>180</v>
      </c>
      <c r="B95" s="4" t="s">
        <v>389</v>
      </c>
      <c r="E95" s="5"/>
      <c r="F95" s="4" t="s">
        <v>389</v>
      </c>
      <c r="G95" s="6" t="str">
        <f t="shared" si="1"/>
        <v>Link</v>
      </c>
      <c r="H95" s="3" t="s">
        <v>37</v>
      </c>
      <c r="I95" s="8" t="str">
        <f t="shared" si="2"/>
        <v>{"address_components":[{"short_name":"Katmai National Park and Preserve","types":["establishment","park","point_of_interest"],"long_name":"Katmai National Park and Preserve"},{"short_name":"AK","types":["administrative_area_level_1","political"],"long_name":"Alaska"},{"types":["country","political"],"short_name":"US","long_name":"United States"},{"short_name":"93C7H2PJ+F3","long_name":"93C7H2PJ+F3","types":["plus_code"]},{"types":["latitude"],"long_name":58.5861984,"short_name":58.5861984},{"types":["longitude"],"long_name":-154.9697748,"short_name":-154.9697748}],"distance_from":{"mi":{"driving":{"2116 4th Ave, Seattle, WA, 98121":"GOOGLE_MAPS_ERROR_CACHED - No route found!"},"flying":{"2116 4th Ave, Seattle, WA, 98121":1529.6581207202953}}},"duration_from":{"days":{"driving":{"2116 4th Ave, Seattle, WA, 98121":"GOOGLE_MAPS_ERROR_CACHED - No route found!"}}}}</v>
      </c>
      <c r="J95" s="8" t="str">
        <f t="shared" si="3"/>
        <v>[{"short_name":"Katmai National Park and Preserve","types":["establishment","park","point_of_interest"],"long_name":"Katmai National Park and Preserve"},{"short_name":"AK","types":["administrative_area_level_1","political"],"long_name":"Alaska"},{"types":["country","political"],"short_name":"US","long_name":"United States"},{"short_name":"93C7H2PJ+F3","long_name":"93C7H2PJ+F3","types":["plus_code"]},{"types":["latitude"],"long_name":58.5861984,"short_name":58.5861984},{"types":["longitude"],"long_name":-154.9697748,"short_name":-154.9697748},{"types":["debug_info","cache_load_result"],"long_name":"hit","short_name":"hit"}]</v>
      </c>
      <c r="K95" s="9" t="b">
        <f t="shared" si="125"/>
        <v>1</v>
      </c>
      <c r="L95" s="8" t="b">
        <f t="shared" si="4"/>
        <v>0</v>
      </c>
      <c r="M95" s="10" t="b">
        <v>1</v>
      </c>
      <c r="N95" s="8">
        <f t="shared" si="126"/>
        <v>58.5861984</v>
      </c>
      <c r="O95" s="8">
        <f t="shared" si="127"/>
        <v>-154.9697748</v>
      </c>
      <c r="P95" s="8" t="str">
        <f t="shared" si="128"/>
        <v>UNDEFINED</v>
      </c>
      <c r="Q95" s="8" t="str">
        <f t="shared" si="129"/>
        <v>Alaska</v>
      </c>
      <c r="R95" s="8" t="str">
        <f t="shared" si="130"/>
        <v>UNDEFINED</v>
      </c>
      <c r="S95" s="8" t="str">
        <f t="shared" si="131"/>
        <v>United States</v>
      </c>
      <c r="T95" s="11" t="str">
        <f t="shared" si="132"/>
        <v>Not Driveable</v>
      </c>
      <c r="U95" s="12" t="str">
        <f t="shared" si="133"/>
        <v>Not Driveable</v>
      </c>
      <c r="V95" s="13">
        <f t="shared" si="134"/>
        <v>1529.658121</v>
      </c>
      <c r="X95" s="4" t="str">
        <f t="shared" si="5"/>
        <v>N/A</v>
      </c>
      <c r="Y95" s="4"/>
      <c r="Z95" s="4" t="s">
        <v>38</v>
      </c>
    </row>
    <row r="96">
      <c r="A96" s="3" t="s">
        <v>180</v>
      </c>
      <c r="B96" s="4" t="s">
        <v>390</v>
      </c>
      <c r="C96" s="4"/>
      <c r="D96" s="4"/>
      <c r="E96" s="5"/>
      <c r="F96" s="4" t="s">
        <v>391</v>
      </c>
      <c r="G96" s="6" t="str">
        <f t="shared" si="1"/>
        <v>Link</v>
      </c>
      <c r="H96" s="3" t="s">
        <v>37</v>
      </c>
      <c r="I96" s="8" t="str">
        <f t="shared" si="2"/>
        <v>{"address_components":[{"types":["establishment","natural_feature"],"long_name":"Gangotri Glacier","short_name":"Gangotri Glacier"},{"long_name":"Uttarkashi","short_name":"Uttarkashi","types":["administrative_area_level_3","political"]},{"short_name":"Garhwal Division","long_name":"Garhwal Division","types":["administrative_area_level_2","political"]},{"long_name":"Uttarakhand","types":["administrative_area_level_1","political"],"short_name":"UK"},{"short_name":"IN","long_name":"India","types":["country","political"]},{"long_name":"249136","types":["postal_code"],"short_name":"249136"},{"short_name":"Q5X3+8M","long_name":"Q5X3+8M","types":["plus_code"]},{"types":["locality","political"],"long_name":"Bhinlgana Range","short_name":"Bhinlgana Range"},{"types":["administrative_area_level_3","political"],"long_name":"Rudraprayag","short_name":"Rudraprayag"},{"long_name":"Garhwal Division","short_name":"Garhwal Division","types":["administrative_area_level_2","political"]},{"types":["administrative_area_level_1","political"],"long_name":"Uttarakhand","short_name":"UK"},{"long_name":"India","short_name":"IN","types":["country","political"]},{"types":["latitude"],"long_name":30.7983498,"short_name":30.7983498},{"types":["longitude"],"long_name":79.154224,"short_name":79.154224}],"duration_from":{"days":{"driving":{"2116 4th Ave, Seattle, WA, 98121":"GOOGLE_MAPS_ERROR_CACHED - No route found!"}}},"distance_from":{"mi":{"driving":{"2116 4th Ave, Seattle, WA, 98121":"GOOGLE_MAPS_ERROR_CACHED - No route found!"},"flying":{"2116 4th Ave, Seattle, WA, 98121":6856.899101495023}}}}</v>
      </c>
      <c r="J96" s="8" t="str">
        <f t="shared" si="3"/>
        <v>[{"types":["establishment","natural_feature"],"long_name":"Gangotri Glacier","short_name":"Gangotri Glacier"},{"long_name":"Uttarkashi","short_name":"Uttarkashi","types":["administrative_area_level_3","political"]},{"short_name":"Garhwal Division","long_name":"Garhwal Division","types":["administrative_area_level_2","political"]},{"long_name":"Uttarakhand","types":["administrative_area_level_1","political"],"short_name":"UK"},{"short_name":"IN","long_name":"India","types":["country","political"]},{"long_name":"249136","types":["postal_code"],"short_name":"249136"},{"short_name":"Q5X3+8M","long_name":"Q5X3+8M","types":["plus_code"]},{"types":["locality","political"],"long_name":"Bhinlgana Range","short_name":"Bhinlgana Range"},{"types":["administrative_area_level_3","political"],"long_name":"Rudraprayag","short_name":"Rudraprayag"},{"long_name":"Garhwal Division","short_name":"Garhwal Division","types":["administrative_area_level_2","political"]},{"types":["administrative_area_level_1","political"],"long_name":"Uttarakhand","short_name":"UK"},{"long_name":"India","short_name":"IN","types":["country","political"]},{"types":["latitude"],"long_name":30.7983498,"short_name":30.7983498},{"types":["longitude"],"long_name":79.154224,"short_name":79.154224},{"types":["debug_info","cache_load_result"],"long_name":"hit","short_name":"hit"}]</v>
      </c>
      <c r="K96" s="9" t="b">
        <f t="shared" si="125"/>
        <v>1</v>
      </c>
      <c r="L96" s="8" t="b">
        <f t="shared" si="4"/>
        <v>0</v>
      </c>
      <c r="M96" s="10" t="b">
        <v>1</v>
      </c>
      <c r="N96" s="8">
        <f t="shared" si="126"/>
        <v>30.7983498</v>
      </c>
      <c r="O96" s="8">
        <f t="shared" si="127"/>
        <v>79.154224</v>
      </c>
      <c r="P96" s="8" t="str">
        <f t="shared" si="128"/>
        <v>Bhinlgana Range</v>
      </c>
      <c r="Q96" s="8" t="str">
        <f t="shared" si="129"/>
        <v>Uttarakhand</v>
      </c>
      <c r="R96" s="8" t="str">
        <f t="shared" si="130"/>
        <v>249136</v>
      </c>
      <c r="S96" s="8" t="str">
        <f t="shared" si="131"/>
        <v>India</v>
      </c>
      <c r="T96" s="11" t="str">
        <f t="shared" si="132"/>
        <v>Not Driveable</v>
      </c>
      <c r="U96" s="12" t="str">
        <f t="shared" si="133"/>
        <v>Not Driveable</v>
      </c>
      <c r="V96" s="13">
        <f t="shared" si="134"/>
        <v>6856.899101</v>
      </c>
      <c r="W96" s="4"/>
      <c r="X96" s="4" t="str">
        <f t="shared" si="5"/>
        <v>N/A</v>
      </c>
      <c r="Y96" s="4"/>
      <c r="Z96" s="4" t="s">
        <v>38</v>
      </c>
    </row>
    <row r="97">
      <c r="A97" s="3" t="s">
        <v>180</v>
      </c>
      <c r="B97" s="4" t="s">
        <v>392</v>
      </c>
      <c r="C97" s="4"/>
      <c r="D97" s="4"/>
      <c r="E97" s="3" t="s">
        <v>43</v>
      </c>
      <c r="F97" s="4" t="s">
        <v>393</v>
      </c>
      <c r="G97" s="6" t="str">
        <f t="shared" si="1"/>
        <v>Link</v>
      </c>
      <c r="H97" s="3" t="s">
        <v>106</v>
      </c>
      <c r="I97" s="8" t="str">
        <f t="shared" si="2"/>
        <v>{"address_components":[{"long_name":"Dhaka","types":["locality","political"],"short_name":"Dhaka"},{"short_name":"Dhaka District","long_name":"Dhaka District","types":["administrative_area_level_2","political"]},{"short_name":"Dhaka Division","long_name":"Dhaka Division","types":["administrative_area_level_1","political"]},{"types":["country","political"],"long_name":"Bangladesh","short_name":"BD"},{"types":["locality","political"],"long_name":"ঢাকা","short_name":"ঢাকা"},{"short_name":"গুলশান","types":["political","sublocality","sublocality_level_1"],"long_name":"গুলশান"},{"short_name":"ঢাকা জেলা","long_name":"ঢাকা জেলা","types":["administrative_area_level_2","political"]},{"long_name":"ঢাকা বিভাগ","types":["administrative_area_level_1","political"],"short_name":"ঢাকা বিভাগ"},{"types":["country","political"],"long_name":"Bangladesh","short_name":"BD"},{"long_name":"1212","short_name":"1212","types":["postal_code"]},{"types":["latitude"],"long_name":23.804093,"short_name":23.804093},{"types":["longitude"],"long_name":90.4152376,"short_name":90.4152376}]}</v>
      </c>
      <c r="J97" s="8" t="str">
        <f t="shared" si="3"/>
        <v>[{"long_name":"Dhaka","types":["locality","political"],"short_name":"Dhaka"},{"short_name":"Dhaka District","long_name":"Dhaka District","types":["administrative_area_level_2","political"]},{"short_name":"Dhaka Division","long_name":"Dhaka Division","types":["administrative_area_level_1","political"]},{"types":["country","political"],"long_name":"Bangladesh","short_name":"BD"},{"types":["locality","political"],"long_name":"ঢাকা","short_name":"ঢাকা"},{"short_name":"গুলশান","types":["political","sublocality","sublocality_level_1"],"long_name":"গুলশান"},{"short_name":"ঢাকা জেলা","long_name":"ঢাকা জেলা","types":["administrative_area_level_2","political"]},{"long_name":"ঢাকা বিভাগ","types":["administrative_area_level_1","political"],"short_name":"ঢাকা বিভাগ"},{"types":["country","political"],"long_name":"Bangladesh","short_name":"BD"},{"long_name":"1212","short_name":"1212","types":["postal_code"]},{"types":["latitude"],"long_name":23.804093,"short_name":23.804093},{"types":["longitude"],"long_name":90.4152376,"short_name":90.4152376},{"types":["debug_info","cache_load_result"],"long_name":"hit","short_name":"hit"}]</v>
      </c>
      <c r="K97" s="9" t="b">
        <f>NOT(AND(NOT(_xlfn.ISFORMULA(P97)),AND(NOT(_xlfn.ISFORMULA(Q97)),AND(NOT(_xlfn.ISFORMULA(R97)),AND(NOT(_xlfn.ISFORMULA(S97)),AND(NOT(_xlfn.ISFORMULA(T97)),AND(NOT(_xlfn.ISFORMULA(U97)),AND(NOT(_xlfn.ISFORMULA(V97)),AND(NOT(_xlfn.ISFORMULA(N97)),NOT(_xlfn.ISFORMULA(O97)))))))))))</f>
        <v>0</v>
      </c>
      <c r="L97" s="8" t="b">
        <f t="shared" si="4"/>
        <v>1</v>
      </c>
      <c r="M97" s="10" t="b">
        <v>1</v>
      </c>
      <c r="N97" s="10">
        <v>23.810332</v>
      </c>
      <c r="O97" s="10">
        <v>90.4125181</v>
      </c>
      <c r="P97" s="10" t="s">
        <v>394</v>
      </c>
      <c r="Q97" s="10" t="s">
        <v>395</v>
      </c>
      <c r="R97" s="10">
        <v>1212.0</v>
      </c>
      <c r="S97" s="10" t="s">
        <v>396</v>
      </c>
      <c r="T97" s="19" t="s">
        <v>56</v>
      </c>
      <c r="U97" s="20" t="s">
        <v>56</v>
      </c>
      <c r="V97" s="18">
        <v>7098.51</v>
      </c>
      <c r="W97" s="4"/>
      <c r="X97" s="4" t="str">
        <f t="shared" si="5"/>
        <v>N/A</v>
      </c>
      <c r="Y97" s="4"/>
      <c r="Z97" s="4" t="s">
        <v>38</v>
      </c>
      <c r="AE97" s="4" t="s">
        <v>397</v>
      </c>
    </row>
    <row r="98">
      <c r="A98" s="3" t="s">
        <v>180</v>
      </c>
      <c r="B98" s="4" t="s">
        <v>398</v>
      </c>
      <c r="C98" s="4" t="s">
        <v>399</v>
      </c>
      <c r="D98" s="4"/>
      <c r="E98" s="5"/>
      <c r="F98" s="4" t="s">
        <v>400</v>
      </c>
      <c r="G98" s="6" t="str">
        <f t="shared" si="1"/>
        <v>Link</v>
      </c>
      <c r="H98" s="3" t="s">
        <v>331</v>
      </c>
      <c r="I98" s="8" t="str">
        <f t="shared" si="2"/>
        <v>{"address_components":[{"short_name":"Hegra","types":["locality","political"],"long_name":"Hegra"},{"types":["administrative_area_level_2","political"],"long_name":"Al Ula","short_name":"Al Ula"},{"long_name":"Al Madinah Province","types":["administrative_area_level_1","political"],"short_name":"Al Madinah Province"},{"long_name":"Saudi Arabia","types":["country","political"],"short_name":"SA"},{"short_name":"RX34+JW2","long_name":"RX34+JW2","types":["plus_code"]},{"long_name":"Hegra","short_name":"Hegra","types":["locality","political"]},{"long_name":"Al Ula","short_name":"Al Ula","types":["administrative_area_level_2","political"]},{"long_name":"Al Madinah Province","short_name":"Al Madinah Province","types":["administrative_area_level_1","political"]},{"types":["country","political"],"long_name":"Saudi Arabia","short_name":"SA"},{"long_name":"43541","short_name":"43541","types":["postal_code"]},{"types":["latitude"],"long_name":26.8040118,"short_name":26.8040118},{"types":["longitude"],"long_name":37.9572703,"short_name":37.9572703}],"distance_from":{"mi":{"flying":{"2116 4th Ave, Seattle, WA, 98121":7150.950700287074},"driving":{"2116 4th Ave, Seattle, WA, 98121":"GOOGLE_MAPS_ERROR_CACHED - No route found!"}}},"duration_from":{"days":{"driving":{"2116 4th Ave, Seattle, WA, 98121":"GOOGLE_MAPS_ERROR_CACHED - No route found!"}}}}</v>
      </c>
      <c r="J98" s="8" t="str">
        <f t="shared" si="3"/>
        <v>[{"short_name":"Hegra","types":["locality","political"],"long_name":"Hegra"},{"types":["administrative_area_level_2","political"],"long_name":"Al Ula","short_name":"Al Ula"},{"long_name":"Al Madinah Province","types":["administrative_area_level_1","political"],"short_name":"Al Madinah Province"},{"long_name":"Saudi Arabia","types":["country","political"],"short_name":"SA"},{"short_name":"RX34+JW2","long_name":"RX34+JW2","types":["plus_code"]},{"long_name":"Hegra","short_name":"Hegra","types":["locality","political"]},{"long_name":"Al Ula","short_name":"Al Ula","types":["administrative_area_level_2","political"]},{"long_name":"Al Madinah Province","short_name":"Al Madinah Province","types":["administrative_area_level_1","political"]},{"types":["country","political"],"long_name":"Saudi Arabia","short_name":"SA"},{"long_name":"43541","short_name":"43541","types":["postal_code"]},{"types":["latitude"],"long_name":26.8040118,"short_name":26.8040118},{"types":["longitude"],"long_name":37.9572703,"short_name":37.9572703},{"types":["debug_info","cache_load_result"],"long_name":"hit","short_name":"hit"}]</v>
      </c>
      <c r="K98" s="9" t="b">
        <f t="shared" ref="K98:K99" si="135">NOT(AND(NOT(_xlfn.ISFORMULA(P98)),AND(NOT(_xlfn.ISFORMULA(Q98)),AND(NOT(_xlfn.ISFORMULA(R98)),AND(NOT(_xlfn.ISFORMULA(S98)),AND(NOT(_xlfn.ISFORMULA(T98)),AND(NOT(_xlfn.ISFORMULA(U98)),AND(NOT(_xlfn.ISFORMULA(V98))))))))))</f>
        <v>1</v>
      </c>
      <c r="L98" s="8" t="b">
        <f t="shared" si="4"/>
        <v>0</v>
      </c>
      <c r="M98" s="10" t="b">
        <v>1</v>
      </c>
      <c r="N98" s="8">
        <f t="shared" ref="N98:N99" si="136">GOOGLEMAPS_GET_ADDRESS_LATITUDE(F98,true)</f>
        <v>26.8040118</v>
      </c>
      <c r="O98" s="8">
        <f t="shared" ref="O98:O99" si="137">GOOGLEMAPS_GET_ADDRESS_LONGITUDE(F98,true)</f>
        <v>37.9572703</v>
      </c>
      <c r="P98" s="8" t="str">
        <f t="shared" ref="P98:P99" si="138">GOOGLEMAPS_GET_ADDRESS_CITY(F98,true,false)</f>
        <v>Hegra</v>
      </c>
      <c r="Q98" s="8" t="str">
        <f t="shared" ref="Q98:Q99" si="139">GOOGLEMAPS_GET_ADDRESS_STATE(F98,true,false)</f>
        <v>Al Madinah Province</v>
      </c>
      <c r="R98" s="8" t="str">
        <f t="shared" ref="R98:R99" si="140">GOOGLEMAPS_GET_ADDRESS_POSTAL_CODE(F98,false,false)</f>
        <v>43541</v>
      </c>
      <c r="S98" s="8" t="str">
        <f t="shared" ref="S98:S99" si="141">GOOGLEMAPS_GET_ADDRESS_COUNTRY(F98,true,false)</f>
        <v>Saudi Arabia</v>
      </c>
      <c r="T98" s="11" t="str">
        <f t="shared" ref="T98:T99" si="142">IFERROR(GOOGLEMAPS_DISTANCE("2116 4th Ave, Seattle, WA, 98121", F98, "driving")+0,"Not Driveable")</f>
        <v>Not Driveable</v>
      </c>
      <c r="U98" s="12" t="str">
        <f t="shared" ref="U98:U99" si="143">iferror(GOOGLEMAPS_DURATION("2116 4th Ave, Seattle, WA, 98121", F98, "driving")+0,"Not Driveable")</f>
        <v>Not Driveable</v>
      </c>
      <c r="V98" s="13">
        <f t="shared" ref="V98:V99" si="144">GOOGLEMAPS_DISTANCE("2116 4th Ave, Seattle, WA, 98121", F98, "flying")+0</f>
        <v>7150.9507</v>
      </c>
      <c r="X98" s="4" t="str">
        <f t="shared" si="5"/>
        <v>N/A</v>
      </c>
      <c r="Y98" s="4"/>
      <c r="Z98" s="4" t="s">
        <v>38</v>
      </c>
    </row>
    <row r="99">
      <c r="A99" s="3" t="s">
        <v>180</v>
      </c>
      <c r="B99" s="4" t="s">
        <v>401</v>
      </c>
      <c r="C99" s="4"/>
      <c r="D99" s="4"/>
      <c r="E99" s="5"/>
      <c r="F99" s="4" t="s">
        <v>402</v>
      </c>
      <c r="G99" s="6" t="str">
        <f t="shared" si="1"/>
        <v>Link</v>
      </c>
      <c r="H99" s="3" t="s">
        <v>120</v>
      </c>
      <c r="I99" s="8" t="str">
        <f t="shared" si="2"/>
        <v>{"address_components":[{"types":["neighborhood","political"],"long_name":"Faujdarhat","short_name":"Faujdarhat"},{"long_name":"Uttar Salimpur","types":["political","sublocality","sublocality_level_1"],"short_name":"Uttar Salimpur"},{"long_name":"Salimpur","types":["locality","political"],"short_name":"Salimpur"},{"long_name":"Chittagong District","short_name":"Chittagong District","types":["administrative_area_level_2","political"]},{"long_name":"Chittagong Division","short_name":"Chittagong Division","types":["administrative_area_level_1","political"]},{"long_name":"Bangladesh","short_name":"BD","types":["country","political"]},{"short_name":"CQ25+PF5","long_name":"CQ25+PF5","types":["plus_code"]},{"types":["locality","political"],"long_name":"Salimpur","short_name":"Salimpur"},{"short_name":"Chittagong District","types":["administrative_area_level_2","political"],"long_name":"Chittagong District"},{"short_name":"Chittagong Division","long_name":"Chittagong Division","types":["administrative_area_level_1","political"]},{"types":["country","political"],"long_name":"Bangladesh","short_name":"BD"},{"types":["latitude"],"long_name":22.4017512,"short_name":22.4017512},{"types":["longitude"],"long_name":91.7587496,"short_name":91.7587496}],"duration_from":{"days":{"driving":{"2116 4th Ave, Seattle, WA, 98121":"GOOGLE_MAPS_ERROR_CACHED - No route found!"}}},"distance_from":{"mi":{"driving":{"2116 4th Ave, Seattle, WA, 98121":"GOOGLE_MAPS_ERROR_CACHED - No route found!"},"flying":{"2116 4th Ave, Seattle, WA, 98121":7155.842767842719}}}}</v>
      </c>
      <c r="J99" s="8" t="str">
        <f t="shared" si="3"/>
        <v>[{"types":["neighborhood","political"],"long_name":"Faujdarhat","short_name":"Faujdarhat"},{"long_name":"Uttar Salimpur","types":["political","sublocality","sublocality_level_1"],"short_name":"Uttar Salimpur"},{"long_name":"Salimpur","types":["locality","political"],"short_name":"Salimpur"},{"long_name":"Chittagong District","short_name":"Chittagong District","types":["administrative_area_level_2","political"]},{"long_name":"Chittagong Division","short_name":"Chittagong Division","types":["administrative_area_level_1","political"]},{"long_name":"Bangladesh","short_name":"BD","types":["country","political"]},{"short_name":"CQ25+PF5","long_name":"CQ25+PF5","types":["plus_code"]},{"types":["locality","political"],"long_name":"Salimpur","short_name":"Salimpur"},{"short_name":"Chittagong District","types":["administrative_area_level_2","political"],"long_name":"Chittagong District"},{"short_name":"Chittagong Division","long_name":"Chittagong Division","types":["administrative_area_level_1","political"]},{"types":["country","political"],"long_name":"Bangladesh","short_name":"BD"},{"types":["latitude"],"long_name":22.4017512,"short_name":22.4017512},{"types":["longitude"],"long_name":91.7587496,"short_name":91.7587496},{"types":["debug_info","cache_load_result"],"long_name":"hit","short_name":"hit"}]</v>
      </c>
      <c r="K99" s="9" t="b">
        <f t="shared" si="135"/>
        <v>1</v>
      </c>
      <c r="L99" s="8" t="b">
        <f t="shared" si="4"/>
        <v>0</v>
      </c>
      <c r="M99" s="10" t="b">
        <v>1</v>
      </c>
      <c r="N99" s="8">
        <f t="shared" si="136"/>
        <v>22.4017512</v>
      </c>
      <c r="O99" s="8">
        <f t="shared" si="137"/>
        <v>91.7587496</v>
      </c>
      <c r="P99" s="8" t="str">
        <f t="shared" si="138"/>
        <v>Salimpur</v>
      </c>
      <c r="Q99" s="8" t="str">
        <f t="shared" si="139"/>
        <v>Chittagong Division</v>
      </c>
      <c r="R99" s="8" t="str">
        <f t="shared" si="140"/>
        <v>UNDEFINED</v>
      </c>
      <c r="S99" s="8" t="str">
        <f t="shared" si="141"/>
        <v>Bangladesh</v>
      </c>
      <c r="T99" s="11" t="str">
        <f t="shared" si="142"/>
        <v>Not Driveable</v>
      </c>
      <c r="U99" s="12" t="str">
        <f t="shared" si="143"/>
        <v>Not Driveable</v>
      </c>
      <c r="V99" s="13">
        <f t="shared" si="144"/>
        <v>7155.842768</v>
      </c>
      <c r="W99" s="4"/>
      <c r="X99" s="4" t="str">
        <f t="shared" si="5"/>
        <v>N/A</v>
      </c>
      <c r="Y99" s="4"/>
      <c r="Z99" s="4" t="s">
        <v>38</v>
      </c>
    </row>
    <row r="100">
      <c r="A100" s="3" t="s">
        <v>180</v>
      </c>
      <c r="B100" s="4" t="s">
        <v>403</v>
      </c>
      <c r="C100" s="4" t="s">
        <v>404</v>
      </c>
      <c r="D100" s="4"/>
      <c r="E100" s="3" t="s">
        <v>43</v>
      </c>
      <c r="F100" s="4" t="s">
        <v>403</v>
      </c>
      <c r="G100" s="6" t="str">
        <f t="shared" si="1"/>
        <v>Link</v>
      </c>
      <c r="H100" s="3" t="s">
        <v>405</v>
      </c>
      <c r="I100" s="8" t="str">
        <f t="shared" si="2"/>
        <v>{"address_components":[{"types":["colloquial_area","political"],"long_name":"Bir Tawil","short_name":"Bir Tawil"},{"types":["plus_code"],"long_name":"7GHMVMPH+J5","short_name":"7GHMVMPH+J5"},{"types":["latitude"],"long_name":21.886527,"short_name":21.886527},{"types":["longitude"],"long_name":33.6779879,"short_name":33.6779879}]}</v>
      </c>
      <c r="J100" s="8" t="str">
        <f t="shared" si="3"/>
        <v>[{"types":["colloquial_area","political"],"long_name":"Bir Tawil","short_name":"Bir Tawil"},{"types":["plus_code"],"long_name":"7GHMVMPH+J5","short_name":"7GHMVMPH+J5"},{"types":["latitude"],"long_name":21.886527,"short_name":21.886527},{"types":["longitude"],"long_name":33.6779879,"short_name":33.6779879},{"types":["debug_info","cache_load_result"],"long_name":"hit","short_name":"hit"}]</v>
      </c>
      <c r="K100" s="9" t="b">
        <f t="shared" ref="K100:K103" si="145">NOT(AND(NOT(_xlfn.ISFORMULA(P100)),AND(NOT(_xlfn.ISFORMULA(Q100)),AND(NOT(_xlfn.ISFORMULA(R100)),AND(NOT(_xlfn.ISFORMULA(S100)),AND(NOT(_xlfn.ISFORMULA(T100)),AND(NOT(_xlfn.ISFORMULA(U100)),AND(NOT(_xlfn.ISFORMULA(V100)),AND(NOT(_xlfn.ISFORMULA(N100)),NOT(_xlfn.ISFORMULA(O100)))))))))))</f>
        <v>0</v>
      </c>
      <c r="L100" s="8" t="b">
        <f t="shared" si="4"/>
        <v>0</v>
      </c>
      <c r="M100" s="10" t="b">
        <v>1</v>
      </c>
      <c r="N100" s="10">
        <v>21.886527</v>
      </c>
      <c r="O100" s="10">
        <v>33.6779879</v>
      </c>
      <c r="P100" s="10" t="s">
        <v>55</v>
      </c>
      <c r="Q100" s="10" t="s">
        <v>55</v>
      </c>
      <c r="R100" s="10" t="s">
        <v>55</v>
      </c>
      <c r="S100" s="10" t="s">
        <v>55</v>
      </c>
      <c r="T100" s="19" t="s">
        <v>56</v>
      </c>
      <c r="U100" s="19" t="s">
        <v>56</v>
      </c>
      <c r="V100" s="18">
        <v>7408.87</v>
      </c>
      <c r="X100" s="4" t="str">
        <f t="shared" si="5"/>
        <v>N/A</v>
      </c>
      <c r="Y100" s="4"/>
      <c r="Z100" s="4" t="s">
        <v>38</v>
      </c>
      <c r="AF100" s="4" t="s">
        <v>406</v>
      </c>
    </row>
    <row r="101">
      <c r="A101" s="3" t="s">
        <v>180</v>
      </c>
      <c r="B101" s="4" t="s">
        <v>407</v>
      </c>
      <c r="C101" s="4" t="s">
        <v>408</v>
      </c>
      <c r="D101" s="4" t="s">
        <v>409</v>
      </c>
      <c r="E101" s="5"/>
      <c r="F101" s="4" t="s">
        <v>407</v>
      </c>
      <c r="G101" s="6" t="str">
        <f t="shared" si="1"/>
        <v>Link</v>
      </c>
      <c r="H101" s="3" t="s">
        <v>73</v>
      </c>
      <c r="I101" s="7" t="str">
        <f t="shared" si="2"/>
        <v>{"address_components":[{"short_name":"Makkah","types":["locality","political"],"long_name":"Makkah"},{"long_name":"Makkah Principality","short_name":"Makkah Principality","types":["administrative_area_level_2","political"]},{"short_name":"Makkah Province","types":["administrative_area_level_1","political"],"long_name":"Makkah Province"},{"short_name":"SA","types":["country","political"],"long_name":"Saudi Arabia"},{"long_name":"CRF8+JWP","short_name":"CRF8+JWP","types":["plus_code"]},{"long_name":"Haratal Bab And Ash Shamiyyah","short_name":"Haratal Bab And Ash Shamiyyah","types":["political","sublocality","sublocality_level_1"]},{"short_name":"Makkah","types":["locality","political"],"long_name":"Makkah"},{"short_name":"Makkah Principality","types":["administrative_area_level_2","political"],"long_name":"Makkah Principality"},{"long_name":"Makkah Province","short_name":"Makkah Province","types":["administrative_area_level_1","political"]},{"short_name":"SA","types":["country","political"],"long_name":"Saudi Arabia"},{"long_name":"24231","short_name":"24231","types":["postal_code"]},{"types":["latitude"],"long_name":21.4240968,"short_name":21.4240968},{"types":["longitude"],"long_name":39.81733639999999,"short_name":39.81733639999999}]}</v>
      </c>
      <c r="J101" s="8" t="str">
        <f t="shared" si="3"/>
        <v>[{"short_name":"Makkah","types":["locality","political"],"long_name":"Makkah"},{"long_name":"Makkah Principality","short_name":"Makkah Principality","types":["administrative_area_level_2","political"]},{"short_name":"Makkah Province","types":["administrative_area_level_1","political"],"long_name":"Makkah Province"},{"short_name":"SA","types":["country","political"],"long_name":"Saudi Arabia"},{"long_name":"CRF8+JWP","short_name":"CRF8+JWP","types":["plus_code"]},{"long_name":"Haratal Bab And Ash Shamiyyah","short_name":"Haratal Bab And Ash Shamiyyah","types":["political","sublocality","sublocality_level_1"]},{"short_name":"Makkah","types":["locality","political"],"long_name":"Makkah"},{"short_name":"Makkah Principality","types":["administrative_area_level_2","political"],"long_name":"Makkah Principality"},{"long_name":"Makkah Province","short_name":"Makkah Province","types":["administrative_area_level_1","political"]},{"short_name":"SA","types":["country","political"],"long_name":"Saudi Arabia"},{"long_name":"24231","short_name":"24231","types":["postal_code"]},{"types":["latitude"],"long_name":21.4240968,"short_name":21.4240968},{"types":["longitude"],"long_name":39.81733639999999,"short_name":39.81733639999999},{"types":["debug_info","cache_load_result"],"long_name":"hit","short_name":"hit"}]</v>
      </c>
      <c r="K101" s="9" t="b">
        <f t="shared" si="145"/>
        <v>0</v>
      </c>
      <c r="L101" s="8" t="b">
        <f t="shared" si="4"/>
        <v>1</v>
      </c>
      <c r="M101" s="10" t="b">
        <v>1</v>
      </c>
      <c r="N101" s="10">
        <v>21.3890824</v>
      </c>
      <c r="O101" s="10">
        <v>39.8579118</v>
      </c>
      <c r="P101" s="10" t="s">
        <v>410</v>
      </c>
      <c r="Q101" s="10" t="s">
        <v>411</v>
      </c>
      <c r="R101" s="10">
        <v>24241.0</v>
      </c>
      <c r="S101" s="10" t="s">
        <v>412</v>
      </c>
      <c r="T101" s="19" t="s">
        <v>56</v>
      </c>
      <c r="U101" s="20" t="s">
        <v>56</v>
      </c>
      <c r="V101" s="18">
        <v>7542.48</v>
      </c>
      <c r="X101" s="4" t="str">
        <f t="shared" si="5"/>
        <v>N/A</v>
      </c>
      <c r="Y101" s="4"/>
      <c r="Z101" s="4" t="s">
        <v>38</v>
      </c>
      <c r="AB101" s="14" t="s">
        <v>69</v>
      </c>
    </row>
    <row r="102">
      <c r="A102" s="3" t="s">
        <v>180</v>
      </c>
      <c r="B102" s="4" t="s">
        <v>413</v>
      </c>
      <c r="C102" s="4" t="s">
        <v>414</v>
      </c>
      <c r="D102" s="4"/>
      <c r="E102" s="5"/>
      <c r="F102" s="4" t="s">
        <v>415</v>
      </c>
      <c r="G102" s="6" t="str">
        <f t="shared" si="1"/>
        <v>Link</v>
      </c>
      <c r="H102" s="3" t="s">
        <v>120</v>
      </c>
      <c r="I102" s="8" t="str">
        <f t="shared" si="2"/>
        <v>{"address_components":[{"types":["locality","political"],"long_name":"Alang","short_name":"Alang"},{"types":["administrative_area_level_3","political"],"long_name":"Bhavnagar","short_name":"Bhavnagar"},{"long_name":"Gujarat","short_name":"GJ","types":["administrative_area_level_1","political"]},{"short_name":"IN","types":["country","political"],"long_name":"India"},{"short_name":"95WH+H45","types":["plus_code"],"long_name":"95WH+H45"},{"types":["route"],"long_name":"South Side Road-Alang","short_name":"South Side Road-Alang"},{"short_name":"Alang","long_name":"Alang","types":["locality","political"]},{"long_name":"Bhavnagar","short_name":"Bhavnagar","types":["administrative_area_level_3","political"]},{"long_name":"Gujarat","short_name":"GJ","types":["administrative_area_level_1","political"]},{"long_name":"India","types":["country","political"],"short_name":"IN"},{"types":["postal_code"],"long_name":"364081","short_name":"364081"},{"types":["latitude"],"long_name":21.3964,"short_name":21.3964},{"types":["longitude"],"long_name":72.1781317,"short_name":72.1781317}]}</v>
      </c>
      <c r="J102" s="8" t="str">
        <f t="shared" si="3"/>
        <v>[{"types":["locality","political"],"long_name":"Alang","short_name":"Alang"},{"types":["administrative_area_level_3","political"],"long_name":"Bhavnagar","short_name":"Bhavnagar"},{"long_name":"Gujarat","short_name":"GJ","types":["administrative_area_level_1","political"]},{"short_name":"IN","types":["country","political"],"long_name":"India"},{"short_name":"95WH+H45","types":["plus_code"],"long_name":"95WH+H45"},{"types":["route"],"long_name":"South Side Road-Alang","short_name":"South Side Road-Alang"},{"short_name":"Alang","long_name":"Alang","types":["locality","political"]},{"long_name":"Bhavnagar","short_name":"Bhavnagar","types":["administrative_area_level_3","political"]},{"long_name":"Gujarat","short_name":"GJ","types":["administrative_area_level_1","political"]},{"long_name":"India","types":["country","political"],"short_name":"IN"},{"types":["postal_code"],"long_name":"364081","short_name":"364081"},{"types":["latitude"],"long_name":21.3964,"short_name":21.3964},{"types":["longitude"],"long_name":72.1781317,"short_name":72.1781317},{"types":["debug_info","cache_load_result"],"long_name":"hit","short_name":"hit"}]</v>
      </c>
      <c r="K102" s="9" t="b">
        <f t="shared" si="145"/>
        <v>0</v>
      </c>
      <c r="L102" s="8" t="b">
        <f t="shared" si="4"/>
        <v>1</v>
      </c>
      <c r="M102" s="10" t="b">
        <v>1</v>
      </c>
      <c r="N102" s="10">
        <v>21.3964</v>
      </c>
      <c r="O102" s="10">
        <v>72.1781317</v>
      </c>
      <c r="P102" s="10" t="s">
        <v>416</v>
      </c>
      <c r="Q102" s="10" t="s">
        <v>417</v>
      </c>
      <c r="R102" s="10">
        <v>364150.0</v>
      </c>
      <c r="S102" s="10" t="s">
        <v>418</v>
      </c>
      <c r="T102" s="19" t="s">
        <v>56</v>
      </c>
      <c r="U102" s="20" t="s">
        <v>56</v>
      </c>
      <c r="V102" s="18">
        <v>7583.98</v>
      </c>
      <c r="W102" s="4"/>
      <c r="X102" s="4" t="str">
        <f t="shared" si="5"/>
        <v>N/A</v>
      </c>
      <c r="Y102" s="4"/>
      <c r="Z102" s="4" t="s">
        <v>38</v>
      </c>
      <c r="AE102" s="4" t="s">
        <v>419</v>
      </c>
    </row>
    <row r="103">
      <c r="A103" s="3" t="s">
        <v>180</v>
      </c>
      <c r="B103" s="4" t="s">
        <v>420</v>
      </c>
      <c r="D103" s="4" t="s">
        <v>421</v>
      </c>
      <c r="E103" s="5"/>
      <c r="F103" s="4" t="s">
        <v>422</v>
      </c>
      <c r="G103" s="6" t="str">
        <f t="shared" si="1"/>
        <v>Link</v>
      </c>
      <c r="H103" s="3" t="s">
        <v>331</v>
      </c>
      <c r="I103" s="7" t="str">
        <f t="shared" si="2"/>
        <v>{"address_components":[{"long_name":"Suakin Island","types":["establishment","natural_feature"],"short_name":"Suakin Island"},{"short_name":"Suakin","long_name":"Suakin","types":["locality","political"]},{"long_name":"Sudan","types":["country","political"],"short_name":"SD"},{"short_name":"488M+M8","long_name":"488M+M8","types":["plus_code"]},{"long_name":"Suakin","short_name":"Suakin","types":["locality","political"]},{"long_name":"Port Sudan","types":["administrative_area_level_2","political"],"short_name":"Port Sudan"},{"long_name":"Red Sea","short_name":"Red Sea","types":["administrative_area_level_1","political"]},{"short_name":"SD","types":["country","political"],"long_name":"Sudan"},{"types":["latitude"],"long_name":19.1166667,"short_name":19.1166667},{"types":["longitude"],"long_name":37.3333333,"short_name":37.3333333}]}</v>
      </c>
      <c r="J103" s="8" t="str">
        <f t="shared" si="3"/>
        <v>[{"long_name":"Suakin Island","types":["establishment","natural_feature"],"short_name":"Suakin Island"},{"short_name":"Suakin","long_name":"Suakin","types":["locality","political"]},{"long_name":"Sudan","types":["country","political"],"short_name":"SD"},{"short_name":"488M+M8","long_name":"488M+M8","types":["plus_code"]},{"long_name":"Suakin","short_name":"Suakin","types":["locality","political"]},{"long_name":"Port Sudan","types":["administrative_area_level_2","political"],"short_name":"Port Sudan"},{"long_name":"Red Sea","short_name":"Red Sea","types":["administrative_area_level_1","political"]},{"short_name":"SD","types":["country","political"],"long_name":"Sudan"},{"types":["latitude"],"long_name":19.1166667,"short_name":19.1166667},{"types":["longitude"],"long_name":37.3333333,"short_name":37.3333333},{"types":["debug_info","cache_load_result"],"long_name":"hit","short_name":"hit"}]</v>
      </c>
      <c r="K103" s="9" t="b">
        <f t="shared" si="145"/>
        <v>0</v>
      </c>
      <c r="L103" s="8" t="b">
        <f t="shared" si="4"/>
        <v>1</v>
      </c>
      <c r="M103" s="10" t="b">
        <v>1</v>
      </c>
      <c r="N103" s="10">
        <v>19.1166667</v>
      </c>
      <c r="O103" s="10">
        <v>37.3333333</v>
      </c>
      <c r="P103" s="10" t="s">
        <v>423</v>
      </c>
      <c r="Q103" s="10" t="s">
        <v>424</v>
      </c>
      <c r="R103" s="10" t="s">
        <v>55</v>
      </c>
      <c r="S103" s="10" t="s">
        <v>425</v>
      </c>
      <c r="T103" s="19" t="s">
        <v>56</v>
      </c>
      <c r="U103" s="20" t="s">
        <v>56</v>
      </c>
      <c r="V103" s="18">
        <v>7656.77</v>
      </c>
      <c r="X103" s="4" t="str">
        <f t="shared" si="5"/>
        <v>N/A</v>
      </c>
      <c r="Y103" s="4"/>
      <c r="Z103" s="4" t="s">
        <v>38</v>
      </c>
      <c r="AB103" s="26" t="s">
        <v>426</v>
      </c>
    </row>
    <row r="104">
      <c r="A104" s="3" t="s">
        <v>180</v>
      </c>
      <c r="B104" s="4" t="s">
        <v>427</v>
      </c>
      <c r="C104" s="4" t="s">
        <v>428</v>
      </c>
      <c r="D104" s="4" t="s">
        <v>429</v>
      </c>
      <c r="E104" s="5"/>
      <c r="F104" s="4" t="s">
        <v>427</v>
      </c>
      <c r="G104" s="6" t="str">
        <f t="shared" si="1"/>
        <v>Link</v>
      </c>
      <c r="H104" s="5"/>
      <c r="I104" s="7" t="str">
        <f t="shared" si="2"/>
        <v>{"duration_from":{"days":{"driving":{"2116 4th Ave, Seattle, WA, 98121":"GOOGLE_MAPS_ERROR_CACHED - No route found!"}}},"address_components":[{"long_name":"North Sentinel Island","short_name":"North Sentinel Island","types":["locality","political"]},{"short_name":"South Andaman","long_name":"South Andaman","types":["administrative_area_level_3","political"]},{"short_name":"AN","types":["administrative_area_level_1","political"],"long_name":"Andaman and Nicobar Islands"},{"types":["country","political"],"long_name":"India","short_name":"IN"},{"long_name":"H69X+HG","short_name":"H69X+HG","types":["plus_code"]},{"long_name":"North Sentinel Island","types":["locality","political"],"short_name":"North Sentinel Island"},{"long_name":"South Andaman","types":["administrative_area_level_3","political"],"short_name":"South Andaman"},{"long_name":"Andaman and Nicobar Islands","short_name":"AN","types":["administrative_area_level_1","political"]},{"short_name":"IN","long_name":"India","types":["country","political"]},{"types":["latitude"],"long_name":11.5689639,"short_name":11.5689639},{"types":["longitude"],"long_name":92.2488173,"short_name":92.2488173}],"distance_from":{"mi":{"flying":{"2116 4th Ave, Seattle, WA, 98121":7828.308499136292},"driving":{"2116 4th Ave, Seattle, WA, 98121":"GOOGLE_MAPS_ERROR_CACHED - No route found!"}}}}</v>
      </c>
      <c r="J104" s="8" t="str">
        <f t="shared" si="3"/>
        <v>[{"long_name":"North Sentinel Island","short_name":"North Sentinel Island","types":["locality","political"]},{"short_name":"South Andaman","long_name":"South Andaman","types":["administrative_area_level_3","political"]},{"short_name":"AN","types":["administrative_area_level_1","political"],"long_name":"Andaman and Nicobar Islands"},{"types":["country","political"],"long_name":"India","short_name":"IN"},{"long_name":"H69X+HG","short_name":"H69X+HG","types":["plus_code"]},{"long_name":"North Sentinel Island","types":["locality","political"],"short_name":"North Sentinel Island"},{"long_name":"South Andaman","types":["administrative_area_level_3","political"],"short_name":"South Andaman"},{"long_name":"Andaman and Nicobar Islands","short_name":"AN","types":["administrative_area_level_1","political"]},{"short_name":"IN","long_name":"India","types":["country","political"]},{"types":["latitude"],"long_name":11.5689639,"short_name":11.5689639},{"types":["longitude"],"long_name":92.2488173,"short_name":92.2488173},{"types":["debug_info","cache_load_result"],"long_name":"hit","short_name":"hit"}]</v>
      </c>
      <c r="K104" s="9" t="b">
        <f t="shared" ref="K104:K106" si="146">NOT(AND(NOT(_xlfn.ISFORMULA(P104)),AND(NOT(_xlfn.ISFORMULA(Q104)),AND(NOT(_xlfn.ISFORMULA(R104)),AND(NOT(_xlfn.ISFORMULA(S104)),AND(NOT(_xlfn.ISFORMULA(T104)),AND(NOT(_xlfn.ISFORMULA(U104)),AND(NOT(_xlfn.ISFORMULA(V104))))))))))</f>
        <v>1</v>
      </c>
      <c r="L104" s="8" t="b">
        <f t="shared" si="4"/>
        <v>0</v>
      </c>
      <c r="M104" s="10" t="b">
        <v>1</v>
      </c>
      <c r="N104" s="8">
        <f t="shared" ref="N104:N106" si="147">GOOGLEMAPS_GET_ADDRESS_LATITUDE(F104,true)</f>
        <v>11.5689639</v>
      </c>
      <c r="O104" s="8">
        <f t="shared" ref="O104:O106" si="148">GOOGLEMAPS_GET_ADDRESS_LONGITUDE(F104,true)</f>
        <v>92.2488173</v>
      </c>
      <c r="P104" s="8" t="str">
        <f t="shared" ref="P104:P106" si="149">GOOGLEMAPS_GET_ADDRESS_CITY(F104,true,false)</f>
        <v>North Sentinel Island</v>
      </c>
      <c r="Q104" s="8" t="str">
        <f t="shared" ref="Q104:Q106" si="150">GOOGLEMAPS_GET_ADDRESS_STATE(F104,true,false)</f>
        <v>Andaman and Nicobar Islands</v>
      </c>
      <c r="R104" s="8" t="str">
        <f t="shared" ref="R104:R106" si="151">GOOGLEMAPS_GET_ADDRESS_POSTAL_CODE(F104,false,false)</f>
        <v>UNDEFINED</v>
      </c>
      <c r="S104" s="8" t="str">
        <f t="shared" ref="S104:S106" si="152">GOOGLEMAPS_GET_ADDRESS_COUNTRY(F104,true,false)</f>
        <v>India</v>
      </c>
      <c r="T104" s="11" t="str">
        <f t="shared" ref="T104:T106" si="153">IFERROR(GOOGLEMAPS_DISTANCE("2116 4th Ave, Seattle, WA, 98121", F104, "driving")+0,"Not Driveable")</f>
        <v>Not Driveable</v>
      </c>
      <c r="U104" s="12" t="str">
        <f t="shared" ref="U104:U106" si="154">iferror(GOOGLEMAPS_DURATION("2116 4th Ave, Seattle, WA, 98121", F104, "driving")+0,"Not Driveable")</f>
        <v>Not Driveable</v>
      </c>
      <c r="V104" s="13">
        <f t="shared" ref="V104:V106" si="155">GOOGLEMAPS_DISTANCE("2116 4th Ave, Seattle, WA, 98121", F104, "flying")+0</f>
        <v>7828.308499</v>
      </c>
      <c r="X104" s="4" t="str">
        <f t="shared" si="5"/>
        <v>N/A</v>
      </c>
      <c r="Y104" s="4"/>
      <c r="Z104" s="4" t="s">
        <v>38</v>
      </c>
      <c r="AB104" s="14" t="s">
        <v>69</v>
      </c>
    </row>
    <row r="105">
      <c r="A105" s="3" t="s">
        <v>180</v>
      </c>
      <c r="B105" s="4" t="s">
        <v>430</v>
      </c>
      <c r="C105" s="4" t="s">
        <v>431</v>
      </c>
      <c r="D105" s="4" t="s">
        <v>432</v>
      </c>
      <c r="E105" s="3" t="s">
        <v>147</v>
      </c>
      <c r="F105" s="4" t="s">
        <v>430</v>
      </c>
      <c r="G105" s="6" t="str">
        <f t="shared" si="1"/>
        <v>Link</v>
      </c>
      <c r="H105" s="5"/>
      <c r="I105" s="7" t="str">
        <f t="shared" si="2"/>
        <v>{"duration_from":{"days":{"driving":{"2116 4th Ave, Seattle, WA, 98121":"GOOGLE_MAPS_ERROR_CACHED - No route found!"}}},"address_components":[{"types":["plus_code"],"short_name":"4PJ9+5RH","long_name":"4PJ9+5RH"},{"short_name":"Aksum","long_name":"Aksum","types":["locality","political"]},{"types":["administrative_area_level_2","political"],"short_name":"Central","long_name":"Central"},{"short_name":"Tigray","long_name":"Tigray","types":["administrative_area_level_1","political"]},{"short_name":"ET","types":["country","political"],"long_name":"Ethiopia"},{"long_name":"4PJ9+5RH","short_name":"4PJ9+5RH","types":["plus_code"]},{"short_name":"Aksum","types":["locality","political"],"long_name":"Aksum"},{"short_name":"Central","long_name":"Central","types":["administrative_area_level_2","political"]},{"long_name":"Tigray","types":["administrative_area_level_1","political"],"short_name":"Tigray"},{"short_name":"ET","long_name":"Ethiopia","types":["country","political"]},{"types":["latitude"],"long_name":14.1304375,"short_name":14.1304375},{"types":["longitude"],"long_name":38.7196094,"short_name":38.7196094}],"distance_from":{"mi":{"flying":{"2116 4th Ave, Seattle, WA, 98121":8013.256987336424},"driving":{"2116 4th Ave, Seattle, WA, 98121":"GOOGLE_MAPS_ERROR_CACHED - No route found!"}}}}</v>
      </c>
      <c r="J105" s="8" t="str">
        <f t="shared" si="3"/>
        <v>[{"types":["plus_code"],"short_name":"4PJ9+5RH","long_name":"4PJ9+5RH"},{"short_name":"Aksum","long_name":"Aksum","types":["locality","political"]},{"types":["administrative_area_level_2","political"],"short_name":"Central","long_name":"Central"},{"short_name":"Tigray","long_name":"Tigray","types":["administrative_area_level_1","political"]},{"short_name":"ET","types":["country","political"],"long_name":"Ethiopia"},{"long_name":"4PJ9+5RH","short_name":"4PJ9+5RH","types":["plus_code"]},{"short_name":"Aksum","types":["locality","political"],"long_name":"Aksum"},{"short_name":"Central","long_name":"Central","types":["administrative_area_level_2","political"]},{"long_name":"Tigray","types":["administrative_area_level_1","political"],"short_name":"Tigray"},{"short_name":"ET","long_name":"Ethiopia","types":["country","political"]},{"types":["latitude"],"long_name":14.1304375,"short_name":14.1304375},{"types":["longitude"],"long_name":38.7196094,"short_name":38.7196094},{"types":["debug_info","cache_load_result"],"long_name":"hit","short_name":"hit"}]</v>
      </c>
      <c r="K105" s="9" t="b">
        <f t="shared" si="146"/>
        <v>1</v>
      </c>
      <c r="L105" s="8" t="b">
        <f t="shared" si="4"/>
        <v>0</v>
      </c>
      <c r="M105" s="10" t="b">
        <v>1</v>
      </c>
      <c r="N105" s="8">
        <f t="shared" si="147"/>
        <v>14.1304375</v>
      </c>
      <c r="O105" s="8">
        <f t="shared" si="148"/>
        <v>38.7196094</v>
      </c>
      <c r="P105" s="8" t="str">
        <f t="shared" si="149"/>
        <v>Aksum</v>
      </c>
      <c r="Q105" s="8" t="str">
        <f t="shared" si="150"/>
        <v>Tigray</v>
      </c>
      <c r="R105" s="8" t="str">
        <f t="shared" si="151"/>
        <v>UNDEFINED</v>
      </c>
      <c r="S105" s="8" t="str">
        <f t="shared" si="152"/>
        <v>Ethiopia</v>
      </c>
      <c r="T105" s="11" t="str">
        <f t="shared" si="153"/>
        <v>Not Driveable</v>
      </c>
      <c r="U105" s="12" t="str">
        <f t="shared" si="154"/>
        <v>Not Driveable</v>
      </c>
      <c r="V105" s="13">
        <f t="shared" si="155"/>
        <v>8013.256987</v>
      </c>
      <c r="X105" s="4" t="str">
        <f t="shared" si="5"/>
        <v>N/A</v>
      </c>
      <c r="Y105" s="4"/>
      <c r="Z105" s="4" t="s">
        <v>38</v>
      </c>
      <c r="AB105" s="14" t="s">
        <v>69</v>
      </c>
    </row>
    <row r="106">
      <c r="A106" s="3" t="s">
        <v>180</v>
      </c>
      <c r="B106" s="4" t="s">
        <v>433</v>
      </c>
      <c r="D106" s="4" t="s">
        <v>434</v>
      </c>
      <c r="E106" s="5"/>
      <c r="F106" s="4" t="s">
        <v>435</v>
      </c>
      <c r="G106" s="6" t="str">
        <f t="shared" si="1"/>
        <v>Link</v>
      </c>
      <c r="H106" s="3" t="s">
        <v>323</v>
      </c>
      <c r="I106" s="7" t="str">
        <f t="shared" si="2"/>
        <v>{"distance_from":{"mi":{"driving":{"2116 4th Ave, Seattle, WA, 98121":"GOOGLE_MAPS_ERROR_CACHED - No route found!"},"flying":{"2116 4th Ave, Seattle, WA, 98121":8349.967688617695}}},"address_components":[{"short_name":"Deception Island","long_name":"Deception Island","types":["establishment","natural_feature"]},{"types":["country","political"],"short_name":"AQ","long_name":"Antarctica"},{"types":["plus_code"],"long_name":"3C5V+JR","short_name":"3C5V+JR"},{"short_name":"Gabriel de Castilla Base","types":["locality","political"],"long_name":"Gabriel de Castilla Base"},{"long_name":"Antarctica","short_name":"AQ","types":["country","political"]},{"types":["latitude"],"long_name":-62.9409297,"short_name":-62.9409297},{"types":["longitude"],"long_name":-60.55537510000001,"short_name":-60.55537510000001}],"duration_from":{"days":{"driving":{"2116 4th Ave, Seattle, WA, 98121":"GOOGLE_MAPS_ERROR_CACHED - No route found!"}}}}</v>
      </c>
      <c r="J106" s="8" t="str">
        <f t="shared" si="3"/>
        <v>[{"short_name":"Deception Island","long_name":"Deception Island","types":["establishment","natural_feature"]},{"types":["country","political"],"short_name":"AQ","long_name":"Antarctica"},{"types":["plus_code"],"long_name":"3C5V+JR","short_name":"3C5V+JR"},{"short_name":"Gabriel de Castilla Base","types":["locality","political"],"long_name":"Gabriel de Castilla Base"},{"long_name":"Antarctica","short_name":"AQ","types":["country","political"]},{"types":["latitude"],"long_name":-62.9409297,"short_name":-62.9409297},{"types":["longitude"],"long_name":-60.55537510000001,"short_name":-60.55537510000001},{"types":["debug_info","cache_load_result"],"long_name":"hit","short_name":"hit"}]</v>
      </c>
      <c r="K106" s="9" t="b">
        <f t="shared" si="146"/>
        <v>1</v>
      </c>
      <c r="L106" s="8" t="b">
        <f t="shared" si="4"/>
        <v>0</v>
      </c>
      <c r="M106" s="10" t="b">
        <v>1</v>
      </c>
      <c r="N106" s="8">
        <f t="shared" si="147"/>
        <v>-62.9409297</v>
      </c>
      <c r="O106" s="8">
        <f t="shared" si="148"/>
        <v>-60.5553751</v>
      </c>
      <c r="P106" s="8" t="str">
        <f t="shared" si="149"/>
        <v>Gabriel de Castilla Base</v>
      </c>
      <c r="Q106" s="8" t="str">
        <f t="shared" si="150"/>
        <v>UNDEFINED</v>
      </c>
      <c r="R106" s="8" t="str">
        <f t="shared" si="151"/>
        <v>UNDEFINED</v>
      </c>
      <c r="S106" s="8" t="str">
        <f t="shared" si="152"/>
        <v>Antarctica</v>
      </c>
      <c r="T106" s="11" t="str">
        <f t="shared" si="153"/>
        <v>Not Driveable</v>
      </c>
      <c r="U106" s="12" t="str">
        <f t="shared" si="154"/>
        <v>Not Driveable</v>
      </c>
      <c r="V106" s="13">
        <f t="shared" si="155"/>
        <v>8349.967689</v>
      </c>
      <c r="X106" s="4" t="str">
        <f t="shared" si="5"/>
        <v>N/A</v>
      </c>
      <c r="Y106" s="4"/>
      <c r="Z106" s="4" t="s">
        <v>38</v>
      </c>
      <c r="AB106" s="14" t="s">
        <v>436</v>
      </c>
    </row>
    <row r="107">
      <c r="A107" s="3" t="s">
        <v>180</v>
      </c>
      <c r="B107" s="4" t="s">
        <v>437</v>
      </c>
      <c r="C107" s="4" t="s">
        <v>438</v>
      </c>
      <c r="D107" s="4"/>
      <c r="E107" s="5"/>
      <c r="F107" s="4" t="s">
        <v>439</v>
      </c>
      <c r="G107" s="6" t="str">
        <f t="shared" si="1"/>
        <v>Link</v>
      </c>
      <c r="H107" s="3" t="s">
        <v>37</v>
      </c>
      <c r="I107" s="8" t="str">
        <f t="shared" si="2"/>
        <v>null</v>
      </c>
      <c r="J107" s="8" t="str">
        <f t="shared" si="3"/>
        <v>#ERROR!</v>
      </c>
      <c r="K107" s="9" t="b">
        <f t="shared" ref="K107:K109" si="156">NOT(AND(NOT(_xlfn.ISFORMULA(P107)),AND(NOT(_xlfn.ISFORMULA(Q107)),AND(NOT(_xlfn.ISFORMULA(R107)),AND(NOT(_xlfn.ISFORMULA(S107)),AND(NOT(_xlfn.ISFORMULA(T107)),AND(NOT(_xlfn.ISFORMULA(U107)),AND(NOT(_xlfn.ISFORMULA(V107)),AND(NOT(_xlfn.ISFORMULA(N107)),NOT(_xlfn.ISFORMULA(O107)))))))))))</f>
        <v>0</v>
      </c>
      <c r="L107" s="8" t="b">
        <f t="shared" si="4"/>
        <v>0</v>
      </c>
      <c r="M107" s="10" t="b">
        <v>1</v>
      </c>
      <c r="N107" s="10">
        <v>-77.716667</v>
      </c>
      <c r="O107" s="10">
        <v>162.266667</v>
      </c>
      <c r="P107" s="10" t="s">
        <v>55</v>
      </c>
      <c r="Q107" s="10" t="s">
        <v>55</v>
      </c>
      <c r="R107" s="10" t="s">
        <v>55</v>
      </c>
      <c r="S107" s="10" t="s">
        <v>440</v>
      </c>
      <c r="T107" s="19" t="s">
        <v>56</v>
      </c>
      <c r="U107" s="20" t="s">
        <v>56</v>
      </c>
      <c r="V107" s="18">
        <v>9208.67</v>
      </c>
      <c r="W107" s="4"/>
      <c r="X107" s="4" t="str">
        <f t="shared" si="5"/>
        <v>N/A</v>
      </c>
      <c r="Y107" s="4"/>
      <c r="Z107" s="4" t="s">
        <v>38</v>
      </c>
    </row>
    <row r="108">
      <c r="A108" s="3" t="s">
        <v>180</v>
      </c>
      <c r="B108" s="4" t="s">
        <v>441</v>
      </c>
      <c r="C108" s="4" t="s">
        <v>442</v>
      </c>
      <c r="D108" s="4" t="s">
        <v>443</v>
      </c>
      <c r="E108" s="5"/>
      <c r="F108" s="4" t="s">
        <v>441</v>
      </c>
      <c r="G108" s="6" t="str">
        <f t="shared" si="1"/>
        <v>Link</v>
      </c>
      <c r="H108" s="5"/>
      <c r="I108" s="7" t="str">
        <f t="shared" si="2"/>
        <v>{"address_components":[{"types":["country","political"],"long_name":"Australia","short_name":"AU"},{"long_name":"5Q6MPQGG+63","short_name":"5Q6MPQGG+63","types":["plus_code"]},{"types":["latitude"],"long_name":-25.274398,"short_name":-25.274398},{"types":["longitude"],"long_name":133.775136,"short_name":133.775136}]}</v>
      </c>
      <c r="J108" s="8" t="str">
        <f t="shared" si="3"/>
        <v>[{"types":["country","political"],"long_name":"Australia","short_name":"AU"},{"long_name":"5Q6MPQGG+63","short_name":"5Q6MPQGG+63","types":["plus_code"]},{"types":["latitude"],"long_name":-25.274398,"short_name":-25.274398},{"types":["longitude"],"long_name":133.775136,"short_name":133.775136},{"types":["debug_info","cache_load_result"],"long_name":"hit","short_name":"hit"}]</v>
      </c>
      <c r="K108" s="9" t="b">
        <f t="shared" si="156"/>
        <v>0</v>
      </c>
      <c r="L108" s="8" t="b">
        <f t="shared" si="4"/>
        <v>0</v>
      </c>
      <c r="M108" s="10" t="b">
        <v>1</v>
      </c>
      <c r="N108" s="10">
        <v>-53.08181</v>
      </c>
      <c r="O108" s="10">
        <v>73.504158</v>
      </c>
      <c r="P108" s="10" t="s">
        <v>55</v>
      </c>
      <c r="Q108" s="10" t="s">
        <v>55</v>
      </c>
      <c r="R108" s="10" t="s">
        <v>55</v>
      </c>
      <c r="S108" s="10" t="s">
        <v>444</v>
      </c>
      <c r="T108" s="19" t="s">
        <v>56</v>
      </c>
      <c r="U108" s="20" t="s">
        <v>56</v>
      </c>
      <c r="V108" s="18">
        <v>11645.01</v>
      </c>
      <c r="X108" s="4" t="str">
        <f t="shared" si="5"/>
        <v>N/A</v>
      </c>
      <c r="Y108" s="4"/>
      <c r="Z108" s="4" t="s">
        <v>38</v>
      </c>
      <c r="AB108" s="14" t="s">
        <v>69</v>
      </c>
    </row>
    <row r="109">
      <c r="A109" s="34" t="s">
        <v>180</v>
      </c>
      <c r="B109" s="4" t="s">
        <v>445</v>
      </c>
      <c r="C109" s="4" t="s">
        <v>445</v>
      </c>
      <c r="D109" s="4"/>
      <c r="E109" s="3" t="s">
        <v>43</v>
      </c>
      <c r="F109" s="4" t="s">
        <v>446</v>
      </c>
      <c r="G109" s="6" t="str">
        <f t="shared" si="1"/>
        <v>Link</v>
      </c>
      <c r="H109" s="3" t="s">
        <v>219</v>
      </c>
      <c r="I109" s="8" t="str">
        <f t="shared" si="2"/>
        <v>{"address_components":[{"short_name":"TF","long_name":"French Southern and Antarctic Lands","types":["country","political"]},{"short_name":"4J2FP89X+VC","long_name":"4J2FP89X+VC","types":["plus_code"]},{"types":["latitude"],"long_name":-49.280366,"short_name":-49.280366},{"types":["longitude"],"long_name":69.3485571,"short_name":69.3485571}]}</v>
      </c>
      <c r="J109" s="8" t="str">
        <f t="shared" si="3"/>
        <v>[{"short_name":"TF","long_name":"French Southern and Antarctic Lands","types":["country","political"]},{"short_name":"4J2FP89X+VC","long_name":"4J2FP89X+VC","types":["plus_code"]},{"types":["latitude"],"long_name":-49.280366,"short_name":-49.280366},{"types":["longitude"],"long_name":69.3485571,"short_name":69.3485571},{"types":["debug_info","cache_load_result"],"long_name":"hit","short_name":"hit"}]</v>
      </c>
      <c r="K109" s="9" t="b">
        <f t="shared" si="156"/>
        <v>0</v>
      </c>
      <c r="L109" s="8" t="b">
        <f t="shared" si="4"/>
        <v>0</v>
      </c>
      <c r="M109" s="10" t="b">
        <v>1</v>
      </c>
      <c r="N109" s="10">
        <v>-49.280366</v>
      </c>
      <c r="O109" s="10">
        <v>69.3485571</v>
      </c>
      <c r="P109" s="10" t="s">
        <v>55</v>
      </c>
      <c r="Q109" s="10" t="s">
        <v>55</v>
      </c>
      <c r="R109" s="10" t="s">
        <v>55</v>
      </c>
      <c r="S109" s="10" t="s">
        <v>447</v>
      </c>
      <c r="T109" s="19" t="s">
        <v>56</v>
      </c>
      <c r="U109" s="20" t="s">
        <v>56</v>
      </c>
      <c r="V109" s="18">
        <v>11889.43</v>
      </c>
      <c r="X109" s="4" t="str">
        <f t="shared" si="5"/>
        <v>N/A</v>
      </c>
      <c r="Z109" s="4" t="s">
        <v>38</v>
      </c>
    </row>
    <row r="110" hidden="1">
      <c r="A110" s="3" t="s">
        <v>180</v>
      </c>
      <c r="B110" s="4" t="s">
        <v>448</v>
      </c>
      <c r="D110" s="4" t="s">
        <v>449</v>
      </c>
      <c r="E110" s="5"/>
      <c r="F110" s="35" t="s">
        <v>450</v>
      </c>
      <c r="G110" s="6" t="str">
        <f t="shared" si="1"/>
        <v>Link</v>
      </c>
      <c r="H110" s="5"/>
      <c r="I110" s="7" t="str">
        <f t="shared" si="2"/>
        <v>{"duration_from":{"days":{"driving":{"2116 4th Ave, Seattle, WA, 98121":"GOOGLE_MAPS_ERROR_CACHED - No route found!"}}},"address_components":[{"types":["street_number"],"long_name":"20","short_name":"20"},{"types":["route"],"long_name":"Neuschwansteinstraße","short_name":"Neuschwansteinstraße"},{"long_name":"Schwangau","short_name":"Schwangau","types":["locality","political"]},{"types":["administrative_area_level_3","political"],"long_name":"Ostallgäu","short_name":"Ostallgäu"},{"long_name":"Schwaben","short_name":"Schwaben","types":["administrative_area_level_2","political"]},{"long_name":"Bayern","short_name":"BY","types":["administrative_area_level_1","political"]},{"long_name":"Germany","short_name":"DE","types":["country","political"]},{"short_name":"87645","types":["postal_code"],"long_name":"87645"},{"long_name":"20","short_name":"20","types":["street_number"]},{"types":["route"],"long_name":"Neuschwansteinstraße","short_name":"Neuschwansteinstraße"},{"long_name":"Schwangau","short_name":"Schwangau","types":["locality","political"]},{"long_name":"Ostallgäu","short_name":"Ostallgäu","types":["administrative_area_level_3","political"]},{"types":["administrative_area_level_2","political"],"short_name":"Schwaben","long_name":"Schwaben"},{"types":["administrative_area_level_1","political"],"long_name":"Bayern","short_name":"BY"},{"types":["country","political"],"long_name":"Germany","short_name":"DE"},{"long_name":"87645","short_name":"87645","types":["postal_code"]},{"types":["latitude"],"long_name":47.557574,"short_name":47.557574},{"types":["longitude"],"long_name":10.7498004,"short_name":10.7498004}],"distance_from":{"mi":{"driving":{"2116 4th Ave, Seattle, WA, 98121":"GOOGLE_MAPS_ERROR_CACHED - No route found!"},"flying":{"2116 4th Ave, Seattle, WA, 98121":5282.244274050232}}}}</v>
      </c>
      <c r="J110" s="8" t="str">
        <f t="shared" si="3"/>
        <v>[{"types":["street_number"],"long_name":"20","short_name":"20"},{"types":["route"],"long_name":"Neuschwansteinstraße","short_name":"Neuschwansteinstraße"},{"long_name":"Schwangau","short_name":"Schwangau","types":["locality","political"]},{"types":["administrative_area_level_3","political"],"long_name":"Ostallgäu","short_name":"Ostallgäu"},{"long_name":"Schwaben","short_name":"Schwaben","types":["administrative_area_level_2","political"]},{"long_name":"Bayern","short_name":"BY","types":["administrative_area_level_1","political"]},{"long_name":"Germany","short_name":"DE","types":["country","political"]},{"short_name":"87645","types":["postal_code"],"long_name":"87645"},{"long_name":"20","short_name":"20","types":["street_number"]},{"types":["route"],"long_name":"Neuschwansteinstraße","short_name":"Neuschwansteinstraße"},{"long_name":"Schwangau","short_name":"Schwangau","types":["locality","political"]},{"long_name":"Ostallgäu","short_name":"Ostallgäu","types":["administrative_area_level_3","political"]},{"types":["administrative_area_level_2","political"],"short_name":"Schwaben","long_name":"Schwaben"},{"types":["administrative_area_level_1","political"],"long_name":"Bayern","short_name":"BY"},{"types":["country","political"],"long_name":"Germany","short_name":"DE"},{"long_name":"87645","short_name":"87645","types":["postal_code"]},{"types":["latitude"],"long_name":47.557574,"short_name":47.557574},{"types":["longitude"],"long_name":10.7498004,"short_name":10.7498004},{"types":["debug_info","cache_load_result"],"long_name":"hit","short_name":"hit"}]</v>
      </c>
      <c r="K110" s="9" t="b">
        <f t="shared" ref="K110:K111" si="157">NOT(AND(NOT(_xlfn.ISFORMULA(P110)),AND(NOT(_xlfn.ISFORMULA(Q110)),AND(NOT(_xlfn.ISFORMULA(R110)),AND(NOT(_xlfn.ISFORMULA(S110)),AND(NOT(_xlfn.ISFORMULA(T110)),AND(NOT(_xlfn.ISFORMULA(U110)),AND(NOT(_xlfn.ISFORMULA(V110))))))))))</f>
        <v>1</v>
      </c>
      <c r="L110" s="8" t="b">
        <f t="shared" si="4"/>
        <v>0</v>
      </c>
      <c r="M110" s="10" t="b">
        <v>1</v>
      </c>
      <c r="N110" s="8">
        <f t="shared" ref="N110:N111" si="158">GOOGLEMAPS_GET_ADDRESS_LATITUDE(F110,true)</f>
        <v>47.557574</v>
      </c>
      <c r="O110" s="8">
        <f t="shared" ref="O110:O111" si="159">GOOGLEMAPS_GET_ADDRESS_LONGITUDE(F110,true)</f>
        <v>10.7498004</v>
      </c>
      <c r="P110" s="8" t="str">
        <f t="shared" ref="P110:P111" si="160">GOOGLEMAPS_GET_ADDRESS_CITY(F110,true,false)</f>
        <v>Schwangau</v>
      </c>
      <c r="Q110" s="8" t="str">
        <f t="shared" ref="Q110:Q111" si="161">GOOGLEMAPS_GET_ADDRESS_STATE(F110,true,false)</f>
        <v>Bayern</v>
      </c>
      <c r="R110" s="8" t="str">
        <f t="shared" ref="R110:R111" si="162">GOOGLEMAPS_GET_ADDRESS_POSTAL_CODE(F110,false,false)</f>
        <v>87645</v>
      </c>
      <c r="S110" s="8" t="str">
        <f t="shared" ref="S110:S111" si="163">GOOGLEMAPS_GET_ADDRESS_COUNTRY(F110,true,false)</f>
        <v>Germany</v>
      </c>
      <c r="T110" s="11" t="str">
        <f t="shared" ref="T110:T111" si="164">IFERROR(GOOGLEMAPS_DISTANCE("2116 4th Ave, Seattle, WA, 98121", F110, "driving")+0,"Not Driveable")</f>
        <v>Not Driveable</v>
      </c>
      <c r="U110" s="12" t="str">
        <f t="shared" ref="U110:U111" si="165">iferror(GOOGLEMAPS_DURATION("2116 4th Ave, Seattle, WA, 98121", F110, "driving")+0,"Not Driveable")</f>
        <v>Not Driveable</v>
      </c>
      <c r="V110" s="13">
        <f t="shared" ref="V110:V111" si="166">GOOGLEMAPS_DISTANCE("2116 4th Ave, Seattle, WA, 98121", F110, "flying")+0</f>
        <v>5282.244274</v>
      </c>
      <c r="X110" s="4" t="str">
        <f t="shared" si="5"/>
        <v>N/A</v>
      </c>
      <c r="Y110" s="4"/>
      <c r="Z110" s="4" t="s">
        <v>38</v>
      </c>
      <c r="AB110" s="14" t="s">
        <v>451</v>
      </c>
    </row>
    <row r="111" hidden="1">
      <c r="A111" s="3" t="s">
        <v>180</v>
      </c>
      <c r="B111" s="4" t="s">
        <v>452</v>
      </c>
      <c r="C111" s="4" t="s">
        <v>452</v>
      </c>
      <c r="D111" s="4"/>
      <c r="E111" s="3" t="s">
        <v>159</v>
      </c>
      <c r="F111" s="35" t="s">
        <v>453</v>
      </c>
      <c r="G111" s="6" t="str">
        <f t="shared" si="1"/>
        <v>Link</v>
      </c>
      <c r="H111" s="3" t="s">
        <v>331</v>
      </c>
      <c r="I111" s="7" t="str">
        <f t="shared" si="2"/>
        <v>{"duration_from":{"days":{"driving":{"2116 4th Ave, Seattle, WA, 98121":"GOOGLE_MAPS_ERROR_CACHED - No route found!"}}},"address_components":[{"short_name":"Rue Madeleine Roch","long_name":"Rue Madeleine Roch","types":["route"]},{"long_name":"Orange","types":["locality","political"],"short_name":"Orange"},{"short_name":"Vaucluse","types":["administrative_area_level_2","political"],"long_name":"Vaucluse"},{"short_name":"Provence-Alpes-Côte d'Azur","types":["administrative_area_level_1","political"],"long_name":"Provence-Alpes-Côte d'Azur"},{"types":["country","political"],"long_name":"France","short_name":"FR"},{"long_name":"84100","types":["postal_code"],"short_name":"84100"},{"types":["street_number"],"long_name":"3","short_name":"3"},{"short_name":"Pl. des Frères Mounet","long_name":"Place des Frères Mounet","types":["route"]},{"short_name":"Orange","types":["locality","political"],"long_name":"Orange"},{"types":["administrative_area_level_2","political"],"long_name":"Vaucluse","short_name":"Vaucluse"},{"short_name":"Provence-Alpes-Côte d'Azur","types":["administrative_area_level_1","political"],"long_name":"Provence-Alpes-Côte d'Azur"},{"types":["country","political"],"long_name":"France","short_name":"FR"},{"types":["postal_code"],"long_name":"84100","short_name":"84100"},{"types":["latitude"],"long_name":44.1359031,"short_name":44.1359031},{"types":["longitude"],"long_name":4.8088117,"short_name":4.8088117}],"distance_from":{"mi":{"driving":{"2116 4th Ave, Seattle, WA, 98121":"GOOGLE_MAPS_ERROR_CACHED - No route found!"},"flying":{"2116 4th Ave, Seattle, WA, 98121":5331.475635974996}}}}</v>
      </c>
      <c r="J111" s="8" t="str">
        <f t="shared" si="3"/>
        <v>[{"short_name":"Rue Madeleine Roch","long_name":"Rue Madeleine Roch","types":["route"]},{"long_name":"Orange","types":["locality","political"],"short_name":"Orange"},{"short_name":"Vaucluse","types":["administrative_area_level_2","political"],"long_name":"Vaucluse"},{"short_name":"Provence-Alpes-Côte d'Azur","types":["administrative_area_level_1","political"],"long_name":"Provence-Alpes-Côte d'Azur"},{"types":["country","political"],"long_name":"France","short_name":"FR"},{"long_name":"84100","types":["postal_code"],"short_name":"84100"},{"types":["street_number"],"long_name":"3","short_name":"3"},{"short_name":"Pl. des Frères Mounet","long_name":"Place des Frères Mounet","types":["route"]},{"short_name":"Orange","types":["locality","political"],"long_name":"Orange"},{"types":["administrative_area_level_2","political"],"long_name":"Vaucluse","short_name":"Vaucluse"},{"short_name":"Provence-Alpes-Côte d'Azur","types":["administrative_area_level_1","political"],"long_name":"Provence-Alpes-Côte d'Azur"},{"types":["country","political"],"long_name":"France","short_name":"FR"},{"types":["postal_code"],"long_name":"84100","short_name":"84100"},{"types":["latitude"],"long_name":44.1359031,"short_name":44.1359031},{"types":["longitude"],"long_name":4.8088117,"short_name":4.8088117},{"types":["debug_info","cache_load_result"],"long_name":"hit","short_name":"hit"}]</v>
      </c>
      <c r="K111" s="9" t="b">
        <f t="shared" si="157"/>
        <v>1</v>
      </c>
      <c r="L111" s="8" t="b">
        <f t="shared" si="4"/>
        <v>1</v>
      </c>
      <c r="M111" s="10" t="b">
        <v>0</v>
      </c>
      <c r="N111" s="8">
        <f t="shared" si="158"/>
        <v>44.1359031</v>
      </c>
      <c r="O111" s="8">
        <f t="shared" si="159"/>
        <v>4.8088117</v>
      </c>
      <c r="P111" s="8" t="str">
        <f t="shared" si="160"/>
        <v>Orange</v>
      </c>
      <c r="Q111" s="8" t="str">
        <f t="shared" si="161"/>
        <v>Provence-Alpes-Côte d'Azur</v>
      </c>
      <c r="R111" s="8" t="str">
        <f t="shared" si="162"/>
        <v>84100</v>
      </c>
      <c r="S111" s="8" t="str">
        <f t="shared" si="163"/>
        <v>France</v>
      </c>
      <c r="T111" s="11" t="str">
        <f t="shared" si="164"/>
        <v>Not Driveable</v>
      </c>
      <c r="U111" s="12" t="str">
        <f t="shared" si="165"/>
        <v>Not Driveable</v>
      </c>
      <c r="V111" s="13">
        <f t="shared" si="166"/>
        <v>5331.475636</v>
      </c>
      <c r="X111" s="4" t="str">
        <f t="shared" si="5"/>
        <v>N/A</v>
      </c>
      <c r="Y111" s="4"/>
      <c r="Z111" s="4" t="s">
        <v>38</v>
      </c>
      <c r="AB111" s="14" t="s">
        <v>454</v>
      </c>
      <c r="AC111" s="14" t="s">
        <v>455</v>
      </c>
    </row>
    <row r="112" hidden="1">
      <c r="A112" s="3" t="s">
        <v>456</v>
      </c>
      <c r="B112" s="4" t="s">
        <v>457</v>
      </c>
      <c r="C112" s="4"/>
      <c r="D112" s="4"/>
      <c r="E112" s="3" t="s">
        <v>43</v>
      </c>
      <c r="F112" s="4" t="s">
        <v>458</v>
      </c>
      <c r="G112" s="6" t="str">
        <f t="shared" si="1"/>
        <v>Link</v>
      </c>
      <c r="H112" s="3" t="s">
        <v>136</v>
      </c>
      <c r="I112" s="8" t="str">
        <f t="shared" si="2"/>
        <v>{"address_components":[{"types":["locality","political"],"short_name":"Vernonia","long_name":"Vernonia"},{"types":["administrative_area_level_2","political"],"long_name":"Columbia County","short_name":"Columbia County"},{"long_name":"Oregon","types":["administrative_area_level_1","political"],"short_name":"OR"},{"short_name":"US","types":["country","political"],"long_name":"United States"},{"types":["postal_code"],"short_name":"97064","long_name":"97064"},{"long_name":"25","short_name":"25","types":["street_number"]},{"short_name":"Rose Ave","types":["route"],"long_name":"Rose Avenue"},{"short_name":"Vernonia","types":["locality","political"],"long_name":"Vernonia"},{"long_name":"Columbia County","short_name":"Columbia County","types":["administrative_area_level_2","political"]},{"types":["administrative_area_level_1","political"],"short_name":"OR","long_name":"Oregon"},{"types":["country","political"],"short_name":"US","long_name":"United States"},{"types":["postal_code"],"short_name":"97064","long_name":"97064"},{"short_name":"1139","types":["postal_code_suffix"],"long_name":"1139"},{"types":["latitude"],"long_name":45.8586855,"short_name":45.8586855},{"types":["longitude"],"long_name":-123.197782,"short_name":-123.197782}]}</v>
      </c>
      <c r="J112" s="8" t="str">
        <f t="shared" si="3"/>
        <v>[{"types":["locality","political"],"short_name":"Vernonia","long_name":"Vernonia"},{"types":["administrative_area_level_2","political"],"long_name":"Columbia County","short_name":"Columbia County"},{"long_name":"Oregon","types":["administrative_area_level_1","political"],"short_name":"OR"},{"short_name":"US","types":["country","political"],"long_name":"United States"},{"types":["postal_code"],"short_name":"97064","long_name":"97064"},{"long_name":"25","short_name":"25","types":["street_number"]},{"short_name":"Rose Ave","types":["route"],"long_name":"Rose Avenue"},{"short_name":"Vernonia","types":["locality","political"],"long_name":"Vernonia"},{"long_name":"Columbia County","short_name":"Columbia County","types":["administrative_area_level_2","political"]},{"types":["administrative_area_level_1","political"],"short_name":"OR","long_name":"Oregon"},{"types":["country","political"],"short_name":"US","long_name":"United States"},{"types":["postal_code"],"short_name":"97064","long_name":"97064"},{"short_name":"1139","types":["postal_code_suffix"],"long_name":"1139"},{"types":["latitude"],"long_name":45.8586855,"short_name":45.8586855},{"types":["longitude"],"long_name":-123.197782,"short_name":-123.197782},{"types":["debug_info","cache_load_result"],"long_name":"hit","short_name":"hit"}]</v>
      </c>
      <c r="K112" s="9" t="b">
        <f t="shared" ref="K112:K117" si="167">NOT(AND(NOT(_xlfn.ISFORMULA(P112)),AND(NOT(_xlfn.ISFORMULA(Q112)),AND(NOT(_xlfn.ISFORMULA(R112)),AND(NOT(_xlfn.ISFORMULA(S112)),AND(NOT(_xlfn.ISFORMULA(T112)),AND(NOT(_xlfn.ISFORMULA(U112)),AND(NOT(_xlfn.ISFORMULA(V112)),AND(NOT(_xlfn.ISFORMULA(N112)),NOT(_xlfn.ISFORMULA(O112)))))))))))</f>
        <v>0</v>
      </c>
      <c r="L112" s="8" t="b">
        <f t="shared" si="4"/>
        <v>1</v>
      </c>
      <c r="M112" s="10" t="b">
        <v>1</v>
      </c>
      <c r="N112" s="10">
        <v>45.8586855</v>
      </c>
      <c r="O112" s="10">
        <v>-123.197782</v>
      </c>
      <c r="P112" s="10" t="s">
        <v>459</v>
      </c>
      <c r="Q112" s="10" t="s">
        <v>460</v>
      </c>
      <c r="R112" s="10">
        <v>97064.0</v>
      </c>
      <c r="S112" s="10" t="s">
        <v>47</v>
      </c>
      <c r="T112" s="19">
        <v>166.9</v>
      </c>
      <c r="U112" s="32">
        <v>0.1283564814814815</v>
      </c>
      <c r="V112" s="18">
        <v>127.89</v>
      </c>
      <c r="W112" s="4"/>
      <c r="X112" s="4" t="str">
        <f t="shared" si="5"/>
        <v>N/A</v>
      </c>
      <c r="Y112" s="4"/>
      <c r="Z112" s="4" t="s">
        <v>38</v>
      </c>
      <c r="AA112" s="24"/>
      <c r="AB112" s="25" t="s">
        <v>461</v>
      </c>
      <c r="AE112" s="4"/>
      <c r="AF112" s="4" t="s">
        <v>462</v>
      </c>
    </row>
    <row r="113">
      <c r="A113" s="34" t="s">
        <v>180</v>
      </c>
      <c r="B113" s="4" t="s">
        <v>463</v>
      </c>
      <c r="C113" s="4" t="s">
        <v>464</v>
      </c>
      <c r="D113" s="4"/>
      <c r="E113" s="3" t="s">
        <v>134</v>
      </c>
      <c r="F113" s="4" t="s">
        <v>463</v>
      </c>
      <c r="G113" s="6" t="str">
        <f t="shared" si="1"/>
        <v>Link</v>
      </c>
      <c r="H113" s="3" t="s">
        <v>219</v>
      </c>
      <c r="I113" s="8" t="str">
        <f t="shared" si="2"/>
        <v>{"address_components":[{"short_name":"Île de l'Est","types":["establishment","natural_feature"],"long_name":"Île de l'Est"},{"types":["country","political"],"short_name":"TF","long_name":"French Southern and Antarctic Lands"},{"long_name":"4H5JH679+JV","short_name":"4H5JH679+JV","types":["plus_code"]},{"types":["latitude"],"long_name":-46.4359006,"short_name":-46.4359006},{"types":["longitude"],"long_name":52.2197284,"short_name":52.2197284}]}</v>
      </c>
      <c r="J113" s="8" t="str">
        <f t="shared" si="3"/>
        <v>[{"short_name":"Île de l'Est","types":["establishment","natural_feature"],"long_name":"Île de l'Est"},{"types":["country","political"],"short_name":"TF","long_name":"French Southern and Antarctic Lands"},{"long_name":"4H5JH679+JV","short_name":"4H5JH679+JV","types":["plus_code"]},{"types":["latitude"],"long_name":-46.4359006,"short_name":-46.4359006},{"types":["longitude"],"long_name":52.2197284,"short_name":52.2197284},{"types":["debug_info","cache_load_result"],"long_name":"hit","short_name":"hit"}]</v>
      </c>
      <c r="K113" s="9" t="b">
        <f t="shared" si="167"/>
        <v>0</v>
      </c>
      <c r="L113" s="8" t="b">
        <f t="shared" si="4"/>
        <v>0</v>
      </c>
      <c r="M113" s="10" t="b">
        <v>1</v>
      </c>
      <c r="N113" s="10">
        <v>-46.4359006</v>
      </c>
      <c r="O113" s="10">
        <v>52.2197284</v>
      </c>
      <c r="P113" s="10" t="s">
        <v>55</v>
      </c>
      <c r="Q113" s="10" t="s">
        <v>55</v>
      </c>
      <c r="R113" s="10" t="s">
        <v>55</v>
      </c>
      <c r="S113" s="10" t="s">
        <v>447</v>
      </c>
      <c r="T113" s="19" t="s">
        <v>56</v>
      </c>
      <c r="U113" s="20" t="s">
        <v>56</v>
      </c>
      <c r="V113" s="18">
        <v>12168.12</v>
      </c>
      <c r="X113" s="4" t="str">
        <f t="shared" si="5"/>
        <v>N/A</v>
      </c>
      <c r="Z113" s="4" t="s">
        <v>38</v>
      </c>
    </row>
    <row r="114" hidden="1">
      <c r="A114" s="34" t="s">
        <v>456</v>
      </c>
      <c r="B114" s="4" t="s">
        <v>465</v>
      </c>
      <c r="C114" s="4" t="s">
        <v>466</v>
      </c>
      <c r="D114" s="4"/>
      <c r="E114" s="3" t="s">
        <v>43</v>
      </c>
      <c r="F114" s="4" t="s">
        <v>465</v>
      </c>
      <c r="G114" s="6" t="str">
        <f t="shared" si="1"/>
        <v>Link</v>
      </c>
      <c r="H114" s="3" t="s">
        <v>187</v>
      </c>
      <c r="I114" s="8" t="str">
        <f t="shared" si="2"/>
        <v>{"address_components":[{"long_name":"Hilo","short_name":"Hilo","types":["locality","political"]},{"short_name":"Hawaii County","types":["administrative_area_level_2","political"],"long_name":"Hawaii County"},{"short_name":"HI","types":["administrative_area_level_1","political"],"long_name":"Hawaii"},{"long_name":"United States","short_name":"US","types":["country","political"]},{"long_name":"96720","short_name":"96720","types":["postal_code"]},{"long_name":"223A","short_name":"223A","types":["street_number"]},{"short_name":"Kilauea Ave","types":["route"],"long_name":"Kilauea Avenue"},{"short_name":"Hilo","types":["locality","political"],"long_name":"Hilo"},{"short_name":"Hawaii County","types":["administrative_area_level_2","political"],"long_name":"Hawaii County"},{"short_name":"HI","types":["administrative_area_level_1","political"],"long_name":"Hawaii"},{"long_name":"United States","short_name":"US","types":["country","political"]},{"long_name":"96720","short_name":"96720","types":["postal_code"]},{"types":["latitude"],"long_name":19.7216023,"short_name":19.7216023},{"types":["longitude"],"long_name":-155.084887,"short_name":-155.084887}]}</v>
      </c>
      <c r="J114" s="8" t="str">
        <f t="shared" si="3"/>
        <v>[{"long_name":"Hilo","short_name":"Hilo","types":["locality","political"]},{"short_name":"Hawaii County","types":["administrative_area_level_2","political"],"long_name":"Hawaii County"},{"short_name":"HI","types":["administrative_area_level_1","political"],"long_name":"Hawaii"},{"long_name":"United States","short_name":"US","types":["country","political"]},{"long_name":"96720","short_name":"96720","types":["postal_code"]},{"long_name":"223A","short_name":"223A","types":["street_number"]},{"short_name":"Kilauea Ave","types":["route"],"long_name":"Kilauea Avenue"},{"short_name":"Hilo","types":["locality","political"],"long_name":"Hilo"},{"short_name":"Hawaii County","types":["administrative_area_level_2","political"],"long_name":"Hawaii County"},{"short_name":"HI","types":["administrative_area_level_1","political"],"long_name":"Hawaii"},{"long_name":"United States","short_name":"US","types":["country","political"]},{"long_name":"96720","short_name":"96720","types":["postal_code"]},{"types":["latitude"],"long_name":19.7216023,"short_name":19.7216023},{"types":["longitude"],"long_name":-155.084887,"short_name":-155.084887},{"types":["debug_info","cache_load_result"],"long_name":"hit","short_name":"hit"}]</v>
      </c>
      <c r="K114" s="9" t="b">
        <f t="shared" si="167"/>
        <v>0</v>
      </c>
      <c r="L114" s="8" t="b">
        <f t="shared" si="4"/>
        <v>1</v>
      </c>
      <c r="M114" s="15" t="b">
        <v>1</v>
      </c>
      <c r="N114" s="10">
        <v>19.7216023</v>
      </c>
      <c r="O114" s="10">
        <v>-155.084887</v>
      </c>
      <c r="P114" s="10" t="s">
        <v>467</v>
      </c>
      <c r="Q114" s="10" t="s">
        <v>468</v>
      </c>
      <c r="R114" s="10">
        <v>96720.0</v>
      </c>
      <c r="S114" s="10" t="s">
        <v>47</v>
      </c>
      <c r="T114" s="19" t="s">
        <v>56</v>
      </c>
      <c r="U114" s="20" t="s">
        <v>56</v>
      </c>
      <c r="V114" s="18">
        <v>2657.65</v>
      </c>
      <c r="W114" s="4"/>
      <c r="X114" s="4" t="str">
        <f t="shared" si="5"/>
        <v>N/A</v>
      </c>
      <c r="Y114" s="4"/>
      <c r="Z114" s="4" t="s">
        <v>38</v>
      </c>
      <c r="AA114" s="4"/>
      <c r="AB114" s="4" t="s">
        <v>469</v>
      </c>
      <c r="AE114" s="4"/>
      <c r="AF114" s="14" t="s">
        <v>470</v>
      </c>
    </row>
    <row r="115" hidden="1">
      <c r="A115" s="3" t="s">
        <v>456</v>
      </c>
      <c r="B115" s="4" t="s">
        <v>471</v>
      </c>
      <c r="C115" s="4"/>
      <c r="D115" s="4"/>
      <c r="E115" s="3" t="s">
        <v>43</v>
      </c>
      <c r="F115" s="4" t="s">
        <v>472</v>
      </c>
      <c r="G115" s="6" t="str">
        <f t="shared" si="1"/>
        <v>Link</v>
      </c>
      <c r="H115" s="3" t="s">
        <v>191</v>
      </c>
      <c r="I115" s="8" t="str">
        <f t="shared" si="2"/>
        <v>{"address_components":[{"long_name":"130","short_name":"130","types":["street_number"]},{"long_name":"West Street","short_name":"West St","types":["route"]},{"long_name":"Friday Harbor","short_name":"Friday Harbor","types":["locality","political"]},{"types":["administrative_area_level_2","political"],"long_name":"San Juan County","short_name":"San Juan County"},{"short_name":"WA","types":["administrative_area_level_1","political"],"long_name":"Washington"},{"long_name":"United States","short_name":"US","types":["country","political"]},{"short_name":"98250","types":["postal_code"],"long_name":"98250"},{"long_name":"101","short_name":"101","types":["subpremise"]},{"long_name":"130","types":["street_number"],"short_name":"130"},{"types":["route"],"long_name":"West Street","short_name":"West St"},{"types":["locality","political"],"long_name":"Friday Harbor","short_name":"Friday Harbor"},{"types":["administrative_area_level_2","political"],"long_name":"San Juan County","short_name":"San Juan County"},{"types":["administrative_area_level_1","political"],"long_name":"Washington","short_name":"WA"},{"types":["country","political"],"long_name":"United States","short_name":"US"},{"short_name":"98250","long_name":"98250","types":["postal_code"]},{"types":["latitude"],"long_name":48.5356909,"short_name":48.5356909},{"types":["longitude"],"long_name":-123.016851,"short_name":-123.016851}]}</v>
      </c>
      <c r="J115" s="8" t="str">
        <f t="shared" si="3"/>
        <v>[{"long_name":"130","short_name":"130","types":["street_number"]},{"long_name":"West Street","short_name":"West St","types":["route"]},{"long_name":"Friday Harbor","short_name":"Friday Harbor","types":["locality","political"]},{"types":["administrative_area_level_2","political"],"long_name":"San Juan County","short_name":"San Juan County"},{"short_name":"WA","types":["administrative_area_level_1","political"],"long_name":"Washington"},{"long_name":"United States","short_name":"US","types":["country","political"]},{"short_name":"98250","types":["postal_code"],"long_name":"98250"},{"long_name":"101","short_name":"101","types":["subpremise"]},{"long_name":"130","types":["street_number"],"short_name":"130"},{"types":["route"],"long_name":"West Street","short_name":"West St"},{"types":["locality","political"],"long_name":"Friday Harbor","short_name":"Friday Harbor"},{"types":["administrative_area_level_2","political"],"long_name":"San Juan County","short_name":"San Juan County"},{"types":["administrative_area_level_1","political"],"long_name":"Washington","short_name":"WA"},{"types":["country","political"],"long_name":"United States","short_name":"US"},{"short_name":"98250","long_name":"98250","types":["postal_code"]},{"types":["latitude"],"long_name":48.5356909,"short_name":48.5356909},{"types":["longitude"],"long_name":-123.016851,"short_name":-123.016851},{"types":["debug_info","cache_load_result"],"long_name":"hit","short_name":"hit"}]</v>
      </c>
      <c r="K115" s="9" t="b">
        <f t="shared" si="167"/>
        <v>0</v>
      </c>
      <c r="L115" s="8" t="b">
        <f t="shared" si="4"/>
        <v>1</v>
      </c>
      <c r="M115" s="10" t="b">
        <v>1</v>
      </c>
      <c r="N115" s="10">
        <v>48.5356909</v>
      </c>
      <c r="O115" s="10">
        <v>-123.016851</v>
      </c>
      <c r="P115" s="10" t="s">
        <v>473</v>
      </c>
      <c r="Q115" s="10" t="s">
        <v>193</v>
      </c>
      <c r="R115" s="10">
        <v>98250.0</v>
      </c>
      <c r="S115" s="10" t="s">
        <v>47</v>
      </c>
      <c r="T115" s="19">
        <v>103.8</v>
      </c>
      <c r="U115" s="32">
        <v>0.1372685185185185</v>
      </c>
      <c r="V115" s="18">
        <v>70.88</v>
      </c>
      <c r="W115" s="4"/>
      <c r="X115" s="4" t="str">
        <f t="shared" si="5"/>
        <v>N/A</v>
      </c>
      <c r="Y115" s="4"/>
      <c r="Z115" s="4" t="s">
        <v>38</v>
      </c>
      <c r="AB115" s="14" t="s">
        <v>474</v>
      </c>
      <c r="AC115" s="14" t="s">
        <v>475</v>
      </c>
      <c r="AF115" s="4" t="s">
        <v>476</v>
      </c>
    </row>
    <row r="116" hidden="1">
      <c r="A116" s="3" t="s">
        <v>456</v>
      </c>
      <c r="B116" s="4" t="s">
        <v>477</v>
      </c>
      <c r="C116" s="4"/>
      <c r="D116" s="4"/>
      <c r="E116" s="3" t="s">
        <v>43</v>
      </c>
      <c r="F116" s="4" t="s">
        <v>478</v>
      </c>
      <c r="G116" s="6" t="str">
        <f t="shared" si="1"/>
        <v>Link</v>
      </c>
      <c r="H116" s="3" t="s">
        <v>191</v>
      </c>
      <c r="I116" s="8" t="str">
        <f t="shared" si="2"/>
        <v>{"address_components":[{"short_name":"2964","types":["street_number"],"long_name":"2964"},{"long_name":"Kindred Avenue","short_name":"Kindred Ave","types":["route"]},{"types":["locality","political"],"long_name":"Tokeland","short_name":"Tokeland"},{"long_name":"Pacific County","short_name":"Pacific County","types":["administrative_area_level_2","political"]},{"short_name":"WA","types":["administrative_area_level_1","political"],"long_name":"Washington"},{"types":["country","political"],"long_name":"United States","short_name":"US"},{"types":["postal_code"],"short_name":"98590","long_name":"98590"},{"types":["postal_code_suffix"],"long_name":"9732","short_name":"9732"},{"short_name":"2964","types":["street_number"],"long_name":"2964"},{"short_name":"Kindred Ave","long_name":"Kindred Avenue","types":["route"]},{"long_name":"Tokeland","types":["locality","political"],"short_name":"Tokeland"},{"types":["administrative_area_level_2","political"],"long_name":"Pacific County","short_name":"Pacific County"},{"long_name":"Washington","types":["administrative_area_level_1","political"],"short_name":"WA"},{"short_name":"US","long_name":"United States","types":["country","political"]},{"long_name":"98590","types":["postal_code"],"short_name":"98590"},{"types":["postal_code_suffix"],"short_name":"9732","long_name":"9732"},{"types":["latitude"],"long_name":46.7084031,"short_name":46.7084031},{"types":["longitude"],"long_name":-123.9845953,"short_name":-123.9845953}]}</v>
      </c>
      <c r="J116" s="8" t="str">
        <f t="shared" si="3"/>
        <v>[{"short_name":"2964","types":["street_number"],"long_name":"2964"},{"long_name":"Kindred Avenue","short_name":"Kindred Ave","types":["route"]},{"types":["locality","political"],"long_name":"Tokeland","short_name":"Tokeland"},{"long_name":"Pacific County","short_name":"Pacific County","types":["administrative_area_level_2","political"]},{"short_name":"WA","types":["administrative_area_level_1","political"],"long_name":"Washington"},{"types":["country","political"],"long_name":"United States","short_name":"US"},{"types":["postal_code"],"short_name":"98590","long_name":"98590"},{"types":["postal_code_suffix"],"long_name":"9732","short_name":"9732"},{"short_name":"2964","types":["street_number"],"long_name":"2964"},{"short_name":"Kindred Ave","long_name":"Kindred Avenue","types":["route"]},{"long_name":"Tokeland","types":["locality","political"],"short_name":"Tokeland"},{"types":["administrative_area_level_2","political"],"long_name":"Pacific County","short_name":"Pacific County"},{"long_name":"Washington","types":["administrative_area_level_1","political"],"short_name":"WA"},{"short_name":"US","long_name":"United States","types":["country","political"]},{"long_name":"98590","types":["postal_code"],"short_name":"98590"},{"types":["postal_code_suffix"],"short_name":"9732","long_name":"9732"},{"types":["latitude"],"long_name":46.7084031,"short_name":46.7084031},{"types":["longitude"],"long_name":-123.9845953,"short_name":-123.9845953},{"types":["debug_info","cache_load_result"],"long_name":"hit","short_name":"hit"}]</v>
      </c>
      <c r="K116" s="9" t="b">
        <f t="shared" si="167"/>
        <v>0</v>
      </c>
      <c r="L116" s="8" t="b">
        <f t="shared" si="4"/>
        <v>1</v>
      </c>
      <c r="M116" s="10" t="b">
        <v>1</v>
      </c>
      <c r="N116" s="10">
        <v>46.7084001</v>
      </c>
      <c r="O116" s="10">
        <v>-123.9846104</v>
      </c>
      <c r="P116" s="10" t="s">
        <v>479</v>
      </c>
      <c r="Q116" s="10" t="s">
        <v>193</v>
      </c>
      <c r="R116" s="10">
        <v>98590.0</v>
      </c>
      <c r="S116" s="10" t="s">
        <v>47</v>
      </c>
      <c r="T116" s="19">
        <v>146.5</v>
      </c>
      <c r="U116" s="32">
        <v>0.11582175925925926</v>
      </c>
      <c r="V116" s="18">
        <v>99.37</v>
      </c>
      <c r="W116" s="4"/>
      <c r="X116" s="4" t="str">
        <f t="shared" si="5"/>
        <v>N/A</v>
      </c>
      <c r="Y116" s="4"/>
      <c r="Z116" s="4" t="s">
        <v>38</v>
      </c>
      <c r="AB116" s="14" t="s">
        <v>474</v>
      </c>
      <c r="AC116" s="14" t="s">
        <v>480</v>
      </c>
      <c r="AF116" s="4" t="s">
        <v>481</v>
      </c>
    </row>
    <row r="117" hidden="1">
      <c r="A117" s="34" t="s">
        <v>456</v>
      </c>
      <c r="B117" s="4" t="s">
        <v>482</v>
      </c>
      <c r="C117" s="4" t="s">
        <v>483</v>
      </c>
      <c r="D117" s="4"/>
      <c r="E117" s="3" t="s">
        <v>43</v>
      </c>
      <c r="F117" s="4" t="s">
        <v>484</v>
      </c>
      <c r="G117" s="6" t="str">
        <f t="shared" si="1"/>
        <v>Link</v>
      </c>
      <c r="H117" s="3" t="s">
        <v>92</v>
      </c>
      <c r="I117" s="8" t="str">
        <f t="shared" si="2"/>
        <v>{"address_components":[{"short_name":"10","long_name":"10","types":["street_number"]},{"short_name":"E Alderbrook Dr","long_name":"E Alderbrook Dr","types":["route"]},{"long_name":"Union","types":["locality","political"],"short_name":"Union"},{"short_name":"Mason County","long_name":"Mason County","types":["administrative_area_level_2","political"]},{"long_name":"Washington","types":["administrative_area_level_1","political"],"short_name":"WA"},{"long_name":"United States","types":["country","political"],"short_name":"US"},{"long_name":"98592","types":["postal_code"],"short_name":"98592"},{"short_name":"9426","long_name":"9426","types":["postal_code_suffix"]},{"long_name":"10","types":["street_number"],"short_name":"10"},{"long_name":"E Alderbrook Dr","types":["route"],"short_name":"E Alderbrook Dr"},{"short_name":"Union","long_name":"Union","types":["locality","political"]},{"short_name":"Mason County","long_name":"Mason County","types":["administrative_area_level_2","political"]},{"long_name":"Washington","types":["administrative_area_level_1","political"],"short_name":"WA"},{"long_name":"United States","types":["country","political"],"short_name":"US"},{"short_name":"98592","long_name":"98592","types":["postal_code"]},{"short_name":"9426","long_name":"9426","types":["postal_code_suffix"]},{"types":["latitude"],"long_name":47.3473964,"short_name":47.3473964},{"types":["longitude"],"long_name":-123.0675384,"short_name":-123.0675384}]}</v>
      </c>
      <c r="J117" s="8" t="str">
        <f t="shared" si="3"/>
        <v>[{"short_name":"10","long_name":"10","types":["street_number"]},{"short_name":"E Alderbrook Dr","long_name":"E Alderbrook Dr","types":["route"]},{"long_name":"Union","types":["locality","political"],"short_name":"Union"},{"short_name":"Mason County","long_name":"Mason County","types":["administrative_area_level_2","political"]},{"long_name":"Washington","types":["administrative_area_level_1","political"],"short_name":"WA"},{"long_name":"United States","types":["country","political"],"short_name":"US"},{"long_name":"98592","types":["postal_code"],"short_name":"98592"},{"short_name":"9426","long_name":"9426","types":["postal_code_suffix"]},{"long_name":"10","types":["street_number"],"short_name":"10"},{"long_name":"E Alderbrook Dr","types":["route"],"short_name":"E Alderbrook Dr"},{"short_name":"Union","long_name":"Union","types":["locality","political"]},{"short_name":"Mason County","long_name":"Mason County","types":["administrative_area_level_2","political"]},{"long_name":"Washington","types":["administrative_area_level_1","political"],"short_name":"WA"},{"long_name":"United States","types":["country","political"],"short_name":"US"},{"short_name":"98592","long_name":"98592","types":["postal_code"]},{"short_name":"9426","long_name":"9426","types":["postal_code_suffix"]},{"types":["latitude"],"long_name":47.3473964,"short_name":47.3473964},{"types":["longitude"],"long_name":-123.0675384,"short_name":-123.0675384},{"types":["debug_info","cache_load_result"],"long_name":"hit","short_name":"hit"}]</v>
      </c>
      <c r="K117" s="9" t="b">
        <f t="shared" si="167"/>
        <v>0</v>
      </c>
      <c r="L117" s="8" t="b">
        <f t="shared" si="4"/>
        <v>1</v>
      </c>
      <c r="M117" s="10" t="b">
        <v>1</v>
      </c>
      <c r="N117" s="10">
        <v>47.3473964</v>
      </c>
      <c r="O117" s="10">
        <v>-123.0675384</v>
      </c>
      <c r="P117" s="10" t="s">
        <v>485</v>
      </c>
      <c r="Q117" s="10" t="s">
        <v>193</v>
      </c>
      <c r="R117" s="10">
        <v>98592.0</v>
      </c>
      <c r="S117" s="10" t="s">
        <v>47</v>
      </c>
      <c r="T117" s="19">
        <v>78.9</v>
      </c>
      <c r="U117" s="32">
        <v>0.0706712962962963</v>
      </c>
      <c r="V117" s="18">
        <v>38.6</v>
      </c>
      <c r="W117" s="4"/>
      <c r="X117" s="4" t="str">
        <f t="shared" si="5"/>
        <v>N/A</v>
      </c>
      <c r="Y117" s="4"/>
      <c r="Z117" s="4" t="s">
        <v>38</v>
      </c>
    </row>
    <row r="118" hidden="1">
      <c r="A118" s="34" t="s">
        <v>456</v>
      </c>
      <c r="B118" s="4" t="s">
        <v>486</v>
      </c>
      <c r="C118" s="4" t="s">
        <v>487</v>
      </c>
      <c r="D118" s="4"/>
      <c r="E118" s="3" t="s">
        <v>43</v>
      </c>
      <c r="F118" s="4" t="s">
        <v>488</v>
      </c>
      <c r="G118" s="6" t="str">
        <f t="shared" si="1"/>
        <v>Link</v>
      </c>
      <c r="H118" s="3" t="s">
        <v>92</v>
      </c>
      <c r="I118" s="8" t="str">
        <f t="shared" si="2"/>
        <v>{"address_components":[{"short_name":"","long_name":"9065 West Highway 9","types":[]},{"short_name":"Mt Carmel","long_name":"Mount Carmel","types":["neighborhood","political"]},{"short_name":"Kane County","long_name":"Kane County","types":["administrative_area_level_2","political"]},{"long_name":"Utah","types":["administrative_area_level_1","political"],"short_name":"UT"},{"short_name":"US","long_name":"United States","types":["country","political"]},{"short_name":"84755","long_name":"84755","types":["postal_code"]},{"short_name":"9065","long_name":"9065","types":["street_number"]},{"short_name":"UT-9","long_name":"Utah 9","types":["route"]},{"long_name":"Mount Carmel","types":["neighborhood","political"],"short_name":"Mt Carmel"},{"long_name":"Kane County","types":["administrative_area_level_2","political"],"short_name":"Kane County"},{"short_name":"UT","long_name":"Utah","types":["administrative_area_level_1","political"]},{"short_name":"US","long_name":"United States","types":["country","political"]},{"long_name":"84755","types":["postal_code"],"short_name":"84755"},{"types":["latitude"],"long_name":37.246947,"short_name":37.246947},{"types":["longitude"],"long_name":-112.803297,"short_name":-112.803297}],"duration_from":{"days":{"driving":{"2116 4th Ave, Seattle, WA, 98121":0.7029282407407408}}},"distance_from":{"mi":{"driving":{"2116 4th Ave, Seattle, WA, 98121":1132.3300234878895},"flying":{"2116 4th Ave, Seattle, WA, 98121":864.4220612176421}}}}</v>
      </c>
      <c r="J118" s="8" t="str">
        <f t="shared" si="3"/>
        <v>[{"short_name":"","long_name":"9065 West Highway 9","types":[]},{"short_name":"Mt Carmel","long_name":"Mount Carmel","types":["neighborhood","political"]},{"short_name":"Kane County","long_name":"Kane County","types":["administrative_area_level_2","political"]},{"long_name":"Utah","types":["administrative_area_level_1","political"],"short_name":"UT"},{"short_name":"US","long_name":"United States","types":["country","political"]},{"short_name":"84755","long_name":"84755","types":["postal_code"]},{"short_name":"9065","long_name":"9065","types":["street_number"]},{"short_name":"UT-9","long_name":"Utah 9","types":["route"]},{"long_name":"Mount Carmel","types":["neighborhood","political"],"short_name":"Mt Carmel"},{"long_name":"Kane County","types":["administrative_area_level_2","political"],"short_name":"Kane County"},{"short_name":"UT","long_name":"Utah","types":["administrative_area_level_1","political"]},{"short_name":"US","long_name":"United States","types":["country","political"]},{"long_name":"84755","types":["postal_code"],"short_name":"84755"},{"types":["latitude"],"long_name":37.246947,"short_name":37.246947},{"types":["longitude"],"long_name":-112.803297,"short_name":-112.803297},{"types":["debug_info","cache_load_result"],"long_name":"hit","short_name":"hit"}]</v>
      </c>
      <c r="K118" s="9" t="b">
        <f t="shared" ref="K118:K123" si="168">NOT(AND(NOT(_xlfn.ISFORMULA(P118)),AND(NOT(_xlfn.ISFORMULA(Q118)),AND(NOT(_xlfn.ISFORMULA(R118)),AND(NOT(_xlfn.ISFORMULA(S118)),AND(NOT(_xlfn.ISFORMULA(T118)),AND(NOT(_xlfn.ISFORMULA(U118)),AND(NOT(_xlfn.ISFORMULA(V118))))))))))</f>
        <v>1</v>
      </c>
      <c r="L118" s="8" t="b">
        <f t="shared" si="4"/>
        <v>0</v>
      </c>
      <c r="M118" s="10" t="b">
        <v>1</v>
      </c>
      <c r="N118" s="8">
        <f t="shared" ref="N118:N123" si="169">GOOGLEMAPS_GET_ADDRESS_LATITUDE(F118,true)</f>
        <v>37.246947</v>
      </c>
      <c r="O118" s="8">
        <f t="shared" ref="O118:O123" si="170">GOOGLEMAPS_GET_ADDRESS_LONGITUDE(F118,true)</f>
        <v>-112.803297</v>
      </c>
      <c r="P118" s="8" t="str">
        <f t="shared" ref="P118:P123" si="171">GOOGLEMAPS_GET_ADDRESS_CITY(F118,true,false)</f>
        <v>Orderville</v>
      </c>
      <c r="Q118" s="8" t="str">
        <f t="shared" ref="Q118:Q123" si="172">GOOGLEMAPS_GET_ADDRESS_STATE(F118,true,false)</f>
        <v>Utah</v>
      </c>
      <c r="R118" s="8" t="str">
        <f t="shared" ref="R118:R123" si="173">GOOGLEMAPS_GET_ADDRESS_POSTAL_CODE(F118,false,false)</f>
        <v>84755</v>
      </c>
      <c r="S118" s="8" t="str">
        <f t="shared" ref="S118:S123" si="174">GOOGLEMAPS_GET_ADDRESS_COUNTRY(F118,true,false)</f>
        <v>United States</v>
      </c>
      <c r="T118" s="11">
        <f t="shared" ref="T118:T123" si="175">IFERROR(GOOGLEMAPS_DISTANCE("2116 4th Ave, Seattle, WA, 98121", F118, "driving")+0,"Not Driveable")</f>
        <v>1132.330023</v>
      </c>
      <c r="U118" s="12">
        <f t="shared" ref="U118:U123" si="176">iferror(GOOGLEMAPS_DURATION("2116 4th Ave, Seattle, WA, 98121", F118, "driving")+0,"Not Driveable")</f>
        <v>0.7029282407</v>
      </c>
      <c r="V118" s="13">
        <f t="shared" ref="V118:V123" si="177">GOOGLEMAPS_DISTANCE("2116 4th Ave, Seattle, WA, 98121", F118, "flying")+0</f>
        <v>864.4220612</v>
      </c>
      <c r="W118" s="4"/>
      <c r="X118" s="4" t="str">
        <f t="shared" si="5"/>
        <v>N/A</v>
      </c>
      <c r="Y118" s="4"/>
      <c r="Z118" s="4" t="s">
        <v>38</v>
      </c>
    </row>
    <row r="119">
      <c r="A119" s="34" t="s">
        <v>456</v>
      </c>
      <c r="B119" s="4" t="s">
        <v>489</v>
      </c>
      <c r="C119" s="4"/>
      <c r="D119" s="4"/>
      <c r="E119" s="5"/>
      <c r="F119" s="4" t="s">
        <v>490</v>
      </c>
      <c r="G119" s="6" t="str">
        <f t="shared" si="1"/>
        <v>Link</v>
      </c>
      <c r="H119" s="3" t="s">
        <v>37</v>
      </c>
      <c r="I119" s="8" t="str">
        <f t="shared" si="2"/>
        <v>{"address_components":[{"short_name":"Ashford","long_name":"Ashford","types":["locality","political"]},{"long_name":"Pierce County","short_name":"Pierce County","types":["administrative_area_level_2","political"]},{"long_name":"Washington","types":["administrative_area_level_1","political"],"short_name":"WA"},{"long_name":"United States","short_name":"US","types":["country","political"]},{"short_name":"98304","long_name":"98304","types":["postal_code"]},{"types":["plus_code"],"long_name":"V9QQ+8H","short_name":"V9QQ+8H"},{"long_name":"Sunrise","types":["locality","political"],"short_name":"Sunrise"},{"types":["administrative_area_level_2","political"],"long_name":"Pierce County","short_name":"Pierce County"},{"types":["administrative_area_level_1","political"],"short_name":"WA","long_name":"Washington"},{"long_name":"United States","types":["country","political"],"short_name":"US"},{"long_name":"98304","short_name":"98304","types":["postal_code"]},{"types":["latitude"],"long_name":46.8883313,"short_name":46.8883313},{"types":["longitude"],"long_name":-121.6110148,"short_name":-121.6110148}],"distance_from":{"mi":{"flying":{"2116 4th Ave, Seattle, WA, 98121":60.755962071408156},"driving":{"2116 4th Ave, Seattle, WA, 98121":"GOOGLE_MAPS_ERROR_CACHED - No route found!"}}},"duration_from":{"days":{"driving":{"2116 4th Ave, Seattle, WA, 98121":"GOOGLE_MAPS_ERROR_CACHED - No route found!"}}}}</v>
      </c>
      <c r="J119" s="8" t="str">
        <f t="shared" si="3"/>
        <v>[{"short_name":"Ashford","long_name":"Ashford","types":["locality","political"]},{"long_name":"Pierce County","short_name":"Pierce County","types":["administrative_area_level_2","political"]},{"long_name":"Washington","types":["administrative_area_level_1","political"],"short_name":"WA"},{"long_name":"United States","short_name":"US","types":["country","political"]},{"short_name":"98304","long_name":"98304","types":["postal_code"]},{"types":["plus_code"],"long_name":"V9QQ+8H","short_name":"V9QQ+8H"},{"long_name":"Sunrise","types":["locality","political"],"short_name":"Sunrise"},{"types":["administrative_area_level_2","political"],"long_name":"Pierce County","short_name":"Pierce County"},{"types":["administrative_area_level_1","political"],"short_name":"WA","long_name":"Washington"},{"long_name":"United States","types":["country","political"],"short_name":"US"},{"long_name":"98304","short_name":"98304","types":["postal_code"]},{"types":["latitude"],"long_name":46.8883313,"short_name":46.8883313},{"types":["longitude"],"long_name":-121.6110148,"short_name":-121.6110148},{"types":["debug_info","cache_load_result"],"long_name":"hit","short_name":"hit"}]</v>
      </c>
      <c r="K119" s="9" t="b">
        <f t="shared" si="168"/>
        <v>1</v>
      </c>
      <c r="L119" s="8" t="b">
        <f t="shared" si="4"/>
        <v>0</v>
      </c>
      <c r="M119" s="10" t="b">
        <v>1</v>
      </c>
      <c r="N119" s="8">
        <f t="shared" si="169"/>
        <v>46.8883313</v>
      </c>
      <c r="O119" s="8">
        <f t="shared" si="170"/>
        <v>-121.6110148</v>
      </c>
      <c r="P119" s="8" t="str">
        <f t="shared" si="171"/>
        <v>Ashford</v>
      </c>
      <c r="Q119" s="8" t="str">
        <f t="shared" si="172"/>
        <v>Washington</v>
      </c>
      <c r="R119" s="8" t="str">
        <f t="shared" si="173"/>
        <v>98304</v>
      </c>
      <c r="S119" s="8" t="str">
        <f t="shared" si="174"/>
        <v>United States</v>
      </c>
      <c r="T119" s="11" t="str">
        <f t="shared" si="175"/>
        <v>Not Driveable</v>
      </c>
      <c r="U119" s="12" t="str">
        <f t="shared" si="176"/>
        <v>Not Driveable</v>
      </c>
      <c r="V119" s="13">
        <f t="shared" si="177"/>
        <v>60.75596207</v>
      </c>
      <c r="W119" s="4"/>
      <c r="X119" s="4" t="str">
        <f t="shared" si="5"/>
        <v>N/A</v>
      </c>
      <c r="Y119" s="4"/>
      <c r="Z119" s="4" t="s">
        <v>38</v>
      </c>
      <c r="AA119" s="4"/>
      <c r="AB119" s="14" t="s">
        <v>491</v>
      </c>
      <c r="AE119" s="4"/>
      <c r="AF119" s="4" t="s">
        <v>492</v>
      </c>
    </row>
    <row r="120">
      <c r="A120" s="34" t="s">
        <v>456</v>
      </c>
      <c r="B120" s="4" t="s">
        <v>493</v>
      </c>
      <c r="C120" s="4"/>
      <c r="D120" s="4"/>
      <c r="E120" s="5"/>
      <c r="F120" s="4" t="s">
        <v>494</v>
      </c>
      <c r="G120" s="6" t="str">
        <f t="shared" si="1"/>
        <v>Link</v>
      </c>
      <c r="H120" s="3" t="s">
        <v>45</v>
      </c>
      <c r="I120" s="8" t="str">
        <f t="shared" si="2"/>
        <v>{"address_components":[{"long_name":"Forest Road 406","types":["route"],"short_name":"Forest Rd 406"},{"short_name":"Ketchum","long_name":"Ketchum","types":["locality","political"]},{"long_name":"Blaine County","types":["administrative_area_level_2","political"],"short_name":"Blaine County"},{"long_name":"Idaho","types":["administrative_area_level_1","political"],"short_name":"ID"},{"long_name":"United States","types":["country","political"],"short_name":"US"},{"short_name":"83340","long_name":"83340","types":["postal_code"]},{"long_name":"Forest Road 406","types":["route"],"short_name":"Forest Rd 406"},{"short_name":"Ketchum","long_name":"Ketchum","types":["locality","political"]},{"short_name":"Blaine County","long_name":"Blaine County","types":["administrative_area_level_2","political"]},{"long_name":"Idaho","types":["administrative_area_level_1","political"],"short_name":"ID"},{"long_name":"United States","types":["country","political"],"short_name":"US"},{"short_name":"83340","long_name":"83340","types":["postal_code"]},{"types":["latitude"],"long_name":43.8980854,"short_name":43.8980854},{"types":["longitude"],"long_name":-114.6817202,"short_name":-114.6817202}],"distance_from":{"mi":{"flying":{"2116 4th Ave, Seattle, WA, 98121":449.43268669143873},"driving":{"2116 4th Ave, Seattle, WA, 98121":632.6177190649584}}},"duration_from":{"days":{"driving":{"2116 4th Ave, Seattle, WA, 98121":0.440775462962963}}}}</v>
      </c>
      <c r="J120" s="8" t="str">
        <f t="shared" si="3"/>
        <v>[{"long_name":"Forest Road 406","types":["route"],"short_name":"Forest Rd 406"},{"short_name":"Ketchum","long_name":"Ketchum","types":["locality","political"]},{"long_name":"Blaine County","types":["administrative_area_level_2","political"],"short_name":"Blaine County"},{"long_name":"Idaho","types":["administrative_area_level_1","political"],"short_name":"ID"},{"long_name":"United States","types":["country","political"],"short_name":"US"},{"short_name":"83340","long_name":"83340","types":["postal_code"]},{"long_name":"Forest Road 406","types":["route"],"short_name":"Forest Rd 406"},{"short_name":"Ketchum","long_name":"Ketchum","types":["locality","political"]},{"short_name":"Blaine County","long_name":"Blaine County","types":["administrative_area_level_2","political"]},{"long_name":"Idaho","types":["administrative_area_level_1","political"],"short_name":"ID"},{"long_name":"United States","types":["country","political"],"short_name":"US"},{"short_name":"83340","long_name":"83340","types":["postal_code"]},{"types":["latitude"],"long_name":43.8980854,"short_name":43.8980854},{"types":["longitude"],"long_name":-114.6817202,"short_name":-114.6817202},{"types":["debug_info","cache_load_result"],"long_name":"hit","short_name":"hit"}]</v>
      </c>
      <c r="K120" s="9" t="b">
        <f t="shared" si="168"/>
        <v>1</v>
      </c>
      <c r="L120" s="8" t="b">
        <f t="shared" si="4"/>
        <v>0</v>
      </c>
      <c r="M120" s="10" t="b">
        <v>1</v>
      </c>
      <c r="N120" s="8">
        <f t="shared" si="169"/>
        <v>43.8980854</v>
      </c>
      <c r="O120" s="8">
        <f t="shared" si="170"/>
        <v>-114.6817202</v>
      </c>
      <c r="P120" s="8" t="str">
        <f t="shared" si="171"/>
        <v>Ketchum</v>
      </c>
      <c r="Q120" s="8" t="str">
        <f t="shared" si="172"/>
        <v>Idaho</v>
      </c>
      <c r="R120" s="8" t="str">
        <f t="shared" si="173"/>
        <v>83340</v>
      </c>
      <c r="S120" s="8" t="str">
        <f t="shared" si="174"/>
        <v>United States</v>
      </c>
      <c r="T120" s="11">
        <f t="shared" si="175"/>
        <v>632.6177191</v>
      </c>
      <c r="U120" s="12">
        <f t="shared" si="176"/>
        <v>0.440775463</v>
      </c>
      <c r="V120" s="13">
        <f t="shared" si="177"/>
        <v>449.4326867</v>
      </c>
      <c r="X120" s="4" t="str">
        <f t="shared" si="5"/>
        <v>N/A</v>
      </c>
      <c r="Z120" s="4" t="s">
        <v>38</v>
      </c>
    </row>
    <row r="121">
      <c r="A121" s="34" t="s">
        <v>456</v>
      </c>
      <c r="B121" s="4" t="s">
        <v>495</v>
      </c>
      <c r="C121" s="4" t="s">
        <v>496</v>
      </c>
      <c r="D121" s="4"/>
      <c r="E121" s="5"/>
      <c r="F121" s="4" t="s">
        <v>497</v>
      </c>
      <c r="G121" s="6" t="str">
        <f t="shared" si="1"/>
        <v>Link</v>
      </c>
      <c r="H121" s="3" t="s">
        <v>120</v>
      </c>
      <c r="I121" s="8" t="str">
        <f t="shared" si="2"/>
        <v>{"address_components":[{"types":["route"],"short_name":"Unnamed Road","long_name":"Unnamed Road"},{"long_name":"Nye County","short_name":"Nye County","types":["administrative_area_level_2","political"]},{"short_name":"NV","types":["administrative_area_level_1","political"],"long_name":"Nevada"},{"long_name":"United States","types":["country","political"],"short_name":"US"},{"long_name":"8585RHX7+H5","short_name":"8585RHX7+H5","types":["plus_code"]},{"types":["latitude"],"long_name":36.8489243,"short_name":36.8489243},{"types":["longitude"],"long_name":-116.4370337,"short_name":-116.4370337}],"distance_from":{"mi":{"flying":{"2116 4th Ave, Seattle, WA, 98121":802.2214075335231},"driving":{"2116 4th Ave, Seattle, WA, 98121":"GOOGLE_MAPS_ERROR_CACHED - No route found!"}}},"duration_from":{"days":{"driving":{"2116 4th Ave, Seattle, WA, 98121":"GOOGLE_MAPS_ERROR_CACHED - No route found!"}}}}</v>
      </c>
      <c r="J121" s="8" t="str">
        <f t="shared" si="3"/>
        <v>[{"types":["route"],"short_name":"Unnamed Road","long_name":"Unnamed Road"},{"long_name":"Nye County","short_name":"Nye County","types":["administrative_area_level_2","political"]},{"short_name":"NV","types":["administrative_area_level_1","political"],"long_name":"Nevada"},{"long_name":"United States","types":["country","political"],"short_name":"US"},{"long_name":"8585RHX7+H5","short_name":"8585RHX7+H5","types":["plus_code"]},{"types":["latitude"],"long_name":36.8489243,"short_name":36.8489243},{"types":["longitude"],"long_name":-116.4370337,"short_name":-116.4370337},{"types":["debug_info","cache_load_result"],"long_name":"hit","short_name":"hit"}]</v>
      </c>
      <c r="K121" s="9" t="b">
        <f t="shared" si="168"/>
        <v>1</v>
      </c>
      <c r="L121" s="8" t="b">
        <f t="shared" si="4"/>
        <v>0</v>
      </c>
      <c r="M121" s="10" t="b">
        <v>1</v>
      </c>
      <c r="N121" s="8">
        <f t="shared" si="169"/>
        <v>36.8489243</v>
      </c>
      <c r="O121" s="8">
        <f t="shared" si="170"/>
        <v>-116.4370337</v>
      </c>
      <c r="P121" s="8" t="str">
        <f t="shared" si="171"/>
        <v>UNDEFINED</v>
      </c>
      <c r="Q121" s="8" t="str">
        <f t="shared" si="172"/>
        <v>Nevada</v>
      </c>
      <c r="R121" s="8" t="str">
        <f t="shared" si="173"/>
        <v>UNDEFINED</v>
      </c>
      <c r="S121" s="8" t="str">
        <f t="shared" si="174"/>
        <v>United States</v>
      </c>
      <c r="T121" s="11" t="str">
        <f t="shared" si="175"/>
        <v>Not Driveable</v>
      </c>
      <c r="U121" s="12" t="str">
        <f t="shared" si="176"/>
        <v>Not Driveable</v>
      </c>
      <c r="V121" s="13">
        <f t="shared" si="177"/>
        <v>802.2214075</v>
      </c>
      <c r="X121" s="4" t="str">
        <f t="shared" si="5"/>
        <v>N/A</v>
      </c>
      <c r="Z121" s="4" t="s">
        <v>38</v>
      </c>
    </row>
    <row r="122">
      <c r="A122" s="3" t="s">
        <v>456</v>
      </c>
      <c r="B122" s="4" t="s">
        <v>498</v>
      </c>
      <c r="D122" s="4" t="s">
        <v>499</v>
      </c>
      <c r="E122" s="5"/>
      <c r="F122" s="4" t="s">
        <v>498</v>
      </c>
      <c r="G122" s="6" t="str">
        <f t="shared" si="1"/>
        <v>Link</v>
      </c>
      <c r="H122" s="3" t="s">
        <v>45</v>
      </c>
      <c r="I122" s="7" t="str">
        <f t="shared" si="2"/>
        <v>{"duration_from":{"days":{"driving":{"2116 4th Ave, Seattle, WA, 98121":0.8560763888888889}}},"address_components":[{"long_name":"Saint Elmo","types":["locality","political"],"short_name":"St Elmo"},{"long_name":"Chaffee County","short_name":"Chaffee County","types":["administrative_area_level_2","political"]},{"types":["administrative_area_level_1","political"],"short_name":"CO","long_name":"Colorado"},{"types":["country","political"],"short_name":"US","long_name":"United States"},{"long_name":"81236","types":["postal_code"],"short_name":"81236"},{"long_name":"25895","short_name":"25895","types":["street_number"]},{"types":["route"],"long_name":"County Road 162","short_name":"Co Rd 162"},{"short_name":"Nathrop","long_name":"Nathrop","types":["locality","political"]},{"long_name":"Chaffee County","types":["administrative_area_level_2","political"],"short_name":"Chaffee County"},{"long_name":"Colorado","types":["administrative_area_level_1","political"],"short_name":"CO"},{"short_name":"US","long_name":"United States","types":["country","political"]},{"short_name":"81236","long_name":"81236","types":["postal_code"]},{"types":["latitude"],"long_name":38.703365,"short_name":38.703365},{"types":["longitude"],"long_name":-106.346223,"short_name":-106.346223}],"distance_from":{"mi":{"driving":{"2116 4th Ave, Seattle, WA, 98121":1337.313432835821},"flying":{"2116 4th Ave, Seattle, WA, 98121":1011.0734835398363}}}}</v>
      </c>
      <c r="J122" s="8" t="str">
        <f t="shared" si="3"/>
        <v>[{"long_name":"Saint Elmo","types":["locality","political"],"short_name":"St Elmo"},{"long_name":"Chaffee County","short_name":"Chaffee County","types":["administrative_area_level_2","political"]},{"types":["administrative_area_level_1","political"],"short_name":"CO","long_name":"Colorado"},{"types":["country","political"],"short_name":"US","long_name":"United States"},{"long_name":"81236","types":["postal_code"],"short_name":"81236"},{"long_name":"25895","short_name":"25895","types":["street_number"]},{"types":["route"],"long_name":"County Road 162","short_name":"Co Rd 162"},{"short_name":"Nathrop","long_name":"Nathrop","types":["locality","political"]},{"long_name":"Chaffee County","types":["administrative_area_level_2","political"],"short_name":"Chaffee County"},{"long_name":"Colorado","types":["administrative_area_level_1","political"],"short_name":"CO"},{"short_name":"US","long_name":"United States","types":["country","political"]},{"short_name":"81236","long_name":"81236","types":["postal_code"]},{"types":["latitude"],"long_name":38.703365,"short_name":38.703365},{"types":["longitude"],"long_name":-106.346223,"short_name":-106.346223},{"types":["debug_info","cache_load_result"],"long_name":"hit","short_name":"hit"}]</v>
      </c>
      <c r="K122" s="9" t="b">
        <f t="shared" si="168"/>
        <v>1</v>
      </c>
      <c r="L122" s="8" t="b">
        <f t="shared" si="4"/>
        <v>0</v>
      </c>
      <c r="M122" s="10" t="b">
        <v>1</v>
      </c>
      <c r="N122" s="8">
        <f t="shared" si="169"/>
        <v>38.703365</v>
      </c>
      <c r="O122" s="8">
        <f t="shared" si="170"/>
        <v>-106.346223</v>
      </c>
      <c r="P122" s="8" t="str">
        <f t="shared" si="171"/>
        <v>Saint Elmo</v>
      </c>
      <c r="Q122" s="8" t="str">
        <f t="shared" si="172"/>
        <v>Colorado</v>
      </c>
      <c r="R122" s="8" t="str">
        <f t="shared" si="173"/>
        <v>81236</v>
      </c>
      <c r="S122" s="8" t="str">
        <f t="shared" si="174"/>
        <v>United States</v>
      </c>
      <c r="T122" s="11">
        <f t="shared" si="175"/>
        <v>1337.313433</v>
      </c>
      <c r="U122" s="12">
        <f t="shared" si="176"/>
        <v>0.8560763889</v>
      </c>
      <c r="V122" s="13">
        <f t="shared" si="177"/>
        <v>1011.073484</v>
      </c>
      <c r="X122" s="4" t="str">
        <f t="shared" si="5"/>
        <v>N/A</v>
      </c>
      <c r="Y122" s="4"/>
      <c r="Z122" s="4" t="s">
        <v>38</v>
      </c>
    </row>
    <row r="123">
      <c r="A123" s="3" t="s">
        <v>456</v>
      </c>
      <c r="B123" s="4" t="s">
        <v>500</v>
      </c>
      <c r="E123" s="3" t="s">
        <v>43</v>
      </c>
      <c r="F123" s="4" t="s">
        <v>501</v>
      </c>
      <c r="G123" s="6" t="str">
        <f t="shared" si="1"/>
        <v>Link</v>
      </c>
      <c r="H123" s="3" t="s">
        <v>213</v>
      </c>
      <c r="I123" s="8" t="str">
        <f t="shared" si="2"/>
        <v>{"address_components":[{"long_name":"León","short_name":"León","types":["administrative_area_level_2","political"]},{"types":["administrative_area_level_1","political"],"short_name":"Gto.","long_name":"Guanajuato"},{"long_name":"Mexico","short_name":"MX","types":["country","political"]},{"types":["establishment","point_of_interest","transit_station"],"short_name":"Malecon Del Rio Y Vicente Valtierra","long_name":"Malecon Del Rio Y Vicente Valtierra"},{"types":["political","sublocality","sublocality_level_1"],"short_name":"Heroes de Chapultepec","long_name":"Heroes de Chapultepec"},{"types":["locality","political"],"short_name":"León de los Aldama","long_name":"León de los Aldama"},{"types":["administrative_area_level_1","political"],"long_name":"Guanajuato","short_name":"Gto."},{"long_name":"Mexico","short_name":"MX","types":["country","political"]},{"short_name":"37190","long_name":"37190","types":["postal_code"]},{"types":["latitude"],"long_name":21.1327508,"short_name":21.1327508},{"types":["longitude"],"long_name":-101.6781837,"short_name":-101.6781837}],"distance_from":{"mi":{"flying":{"2116 4th Ave, Seattle, WA, 98121":2161.3462661712256},"driving":{"2116 4th Ave, Seattle, WA, 98121":2613.9902071656707}}},"duration_from":{"days":{"driving":{"2116 4th Ave, Seattle, WA, 98121":1.7575925925925926}}}}</v>
      </c>
      <c r="J123" s="8" t="str">
        <f t="shared" si="3"/>
        <v>[{"long_name":"León","short_name":"León","types":["administrative_area_level_2","political"]},{"types":["administrative_area_level_1","political"],"short_name":"Gto.","long_name":"Guanajuato"},{"long_name":"Mexico","short_name":"MX","types":["country","political"]},{"types":["establishment","point_of_interest","transit_station"],"short_name":"Malecon Del Rio Y Vicente Valtierra","long_name":"Malecon Del Rio Y Vicente Valtierra"},{"types":["political","sublocality","sublocality_level_1"],"short_name":"Heroes de Chapultepec","long_name":"Heroes de Chapultepec"},{"types":["locality","political"],"short_name":"León de los Aldama","long_name":"León de los Aldama"},{"types":["administrative_area_level_1","political"],"long_name":"Guanajuato","short_name":"Gto."},{"long_name":"Mexico","short_name":"MX","types":["country","political"]},{"short_name":"37190","long_name":"37190","types":["postal_code"]},{"types":["latitude"],"long_name":21.1327508,"short_name":21.1327508},{"types":["longitude"],"long_name":-101.6781837,"short_name":-101.6781837},{"types":["debug_info","cache_load_result"],"long_name":"hit","short_name":"hit"}]</v>
      </c>
      <c r="K123" s="9" t="b">
        <f t="shared" si="168"/>
        <v>1</v>
      </c>
      <c r="L123" s="8" t="b">
        <f t="shared" si="4"/>
        <v>0</v>
      </c>
      <c r="M123" s="10" t="b">
        <v>1</v>
      </c>
      <c r="N123" s="8">
        <f t="shared" si="169"/>
        <v>21.1327508</v>
      </c>
      <c r="O123" s="8">
        <f t="shared" si="170"/>
        <v>-101.6781837</v>
      </c>
      <c r="P123" s="8" t="str">
        <f t="shared" si="171"/>
        <v>León de los Aldama</v>
      </c>
      <c r="Q123" s="8" t="str">
        <f t="shared" si="172"/>
        <v>Guanajuato</v>
      </c>
      <c r="R123" s="8" t="str">
        <f t="shared" si="173"/>
        <v>37190</v>
      </c>
      <c r="S123" s="8" t="str">
        <f t="shared" si="174"/>
        <v>Mexico</v>
      </c>
      <c r="T123" s="11">
        <f t="shared" si="175"/>
        <v>2613.990207</v>
      </c>
      <c r="U123" s="12">
        <f t="shared" si="176"/>
        <v>1.757592593</v>
      </c>
      <c r="V123" s="13">
        <f t="shared" si="177"/>
        <v>2161.346266</v>
      </c>
      <c r="W123" s="4"/>
      <c r="X123" s="4" t="str">
        <f t="shared" si="5"/>
        <v>N/A</v>
      </c>
      <c r="Z123" s="4" t="s">
        <v>38</v>
      </c>
      <c r="AB123" s="14" t="s">
        <v>502</v>
      </c>
    </row>
    <row r="124" hidden="1">
      <c r="A124" s="3" t="s">
        <v>456</v>
      </c>
      <c r="B124" s="4" t="s">
        <v>503</v>
      </c>
      <c r="E124" s="3" t="s">
        <v>159</v>
      </c>
      <c r="F124" s="4" t="s">
        <v>504</v>
      </c>
      <c r="G124" s="6" t="str">
        <f t="shared" si="1"/>
        <v>Link</v>
      </c>
      <c r="H124" s="3" t="s">
        <v>92</v>
      </c>
      <c r="I124" s="8" t="str">
        <f t="shared" si="2"/>
        <v>{"address_components":[{"short_name":"6922","types":["street_number"],"long_name":"6922"},{"long_name":"Preston-Fall City Road Southeast","short_name":"Preston-Fall City Rd SE","types":["route"]},{"long_name":"Issaquah","short_name":"Issaquah","types":["locality","political"]},{"short_name":"King County","types":["administrative_area_level_2","political"],"long_name":"King County"},{"long_name":"Washington","types":["administrative_area_level_1","political"],"short_name":"WA"},{"short_name":"US","long_name":"United States","types":["country","political"]},{"long_name":"98027","short_name":"98027","types":["postal_code"]},{"short_name":"8775","long_name":"8775","types":["postal_code_suffix"]},{"long_name":"6922","short_name":"6922","types":["street_number"]},{"long_name":"Preston-Fall City Road Southeast","types":["route"],"short_name":"Preston-Fall City Rd SE"},{"long_name":"Issaquah","short_name":"Issaquah","types":["locality","political"]},{"types":["administrative_area_level_2","political"],"long_name":"King County","short_name":"King County"},{"long_name":"Washington","types":["administrative_area_level_1","political"],"short_name":"WA"},{"long_name":"United States","short_name":"US","types":["country","political"]},{"types":["postal_code"],"long_name":"98027","short_name":"98027"},{"types":["postal_code_suffix"],"short_name":"8775","long_name":"8775"},{"types":["latitude"],"long_name":47.5381489,"short_name":47.5381489},{"types":["longitude"],"long_name":-121.910441,"short_name":-121.910441}]}</v>
      </c>
      <c r="J124" s="8" t="str">
        <f t="shared" si="3"/>
        <v>[{"short_name":"6922","types":["street_number"],"long_name":"6922"},{"long_name":"Preston-Fall City Road Southeast","short_name":"Preston-Fall City Rd SE","types":["route"]},{"long_name":"Issaquah","short_name":"Issaquah","types":["locality","political"]},{"short_name":"King County","types":["administrative_area_level_2","political"],"long_name":"King County"},{"long_name":"Washington","types":["administrative_area_level_1","political"],"short_name":"WA"},{"short_name":"US","long_name":"United States","types":["country","political"]},{"long_name":"98027","short_name":"98027","types":["postal_code"]},{"short_name":"8775","long_name":"8775","types":["postal_code_suffix"]},{"long_name":"6922","short_name":"6922","types":["street_number"]},{"long_name":"Preston-Fall City Road Southeast","types":["route"],"short_name":"Preston-Fall City Rd SE"},{"long_name":"Issaquah","short_name":"Issaquah","types":["locality","political"]},{"types":["administrative_area_level_2","political"],"long_name":"King County","short_name":"King County"},{"long_name":"Washington","types":["administrative_area_level_1","political"],"short_name":"WA"},{"long_name":"United States","short_name":"US","types":["country","political"]},{"types":["postal_code"],"long_name":"98027","short_name":"98027"},{"types":["postal_code_suffix"],"short_name":"8775","long_name":"8775"},{"types":["latitude"],"long_name":47.5381489,"short_name":47.5381489},{"types":["longitude"],"long_name":-121.910441,"short_name":-121.910441},{"types":["debug_info","cache_load_result"],"long_name":"hit","short_name":"hit"}]</v>
      </c>
      <c r="K124" s="9" t="b">
        <f>NOT(AND(NOT(_xlfn.ISFORMULA(P124)),AND(NOT(_xlfn.ISFORMULA(Q124)),AND(NOT(_xlfn.ISFORMULA(R124)),AND(NOT(_xlfn.ISFORMULA(S124)),AND(NOT(_xlfn.ISFORMULA(T124)),AND(NOT(_xlfn.ISFORMULA(U124)),AND(NOT(_xlfn.ISFORMULA(V124)),AND(NOT(_xlfn.ISFORMULA(N124)),NOT(_xlfn.ISFORMULA(O124)))))))))))</f>
        <v>0</v>
      </c>
      <c r="L124" s="8" t="b">
        <f t="shared" si="4"/>
        <v>1</v>
      </c>
      <c r="M124" s="10" t="b">
        <v>1</v>
      </c>
      <c r="N124" s="10">
        <v>47.5381489</v>
      </c>
      <c r="O124" s="10">
        <v>-121.910441</v>
      </c>
      <c r="P124" s="10" t="s">
        <v>505</v>
      </c>
      <c r="Q124" s="10" t="s">
        <v>193</v>
      </c>
      <c r="R124" s="10">
        <v>98027.0</v>
      </c>
      <c r="S124" s="10" t="s">
        <v>47</v>
      </c>
      <c r="T124" s="19">
        <v>24.0</v>
      </c>
      <c r="U124" s="32">
        <v>0.021770833333333333</v>
      </c>
      <c r="V124" s="18">
        <v>20.78</v>
      </c>
      <c r="X124" s="4" t="str">
        <f t="shared" si="5"/>
        <v>N/A</v>
      </c>
      <c r="Z124" s="4" t="s">
        <v>38</v>
      </c>
      <c r="AB124" s="14" t="s">
        <v>506</v>
      </c>
    </row>
    <row r="125">
      <c r="A125" s="3" t="s">
        <v>456</v>
      </c>
      <c r="B125" s="4" t="s">
        <v>507</v>
      </c>
      <c r="E125" s="5"/>
      <c r="F125" s="4" t="s">
        <v>508</v>
      </c>
      <c r="G125" s="6" t="str">
        <f t="shared" si="1"/>
        <v>Link</v>
      </c>
      <c r="H125" s="3" t="s">
        <v>37</v>
      </c>
      <c r="I125" s="8" t="str">
        <f t="shared" si="2"/>
        <v>{"address_components":[{"long_name":"Little Beach","short_name":"Little Beach","types":["establishment","natural_feature"]},{"types":["locality","political"],"long_name":"Kihei","short_name":"Kihei"},{"types":["administrative_area_level_2","political"],"long_name":"Maui County","short_name":"Maui County"},{"types":["administrative_area_level_1","political"],"long_name":"Hawaii","short_name":"HI"},{"long_name":"United States","short_name":"US","types":["country","political"]},{"long_name":"96753","short_name":"96753","types":["postal_code"]},{"long_name":"JGMX+X7","short_name":"JGMX+X7","types":["plus_code"]},{"types":["locality","political"],"long_name":"Makena","short_name":"Makena"},{"types":["administrative_area_level_2","political"],"long_name":"Maui County","short_name":"Maui County"},{"long_name":"Hawaii","short_name":"HI","types":["administrative_area_level_1","political"]},{"types":["country","political"],"long_name":"United States","short_name":"US"},{"types":["postal_code"],"long_name":"96753","short_name":"96753"},{"types":["latitude"],"long_name":20.6349333,"short_name":20.6349333},{"types":["longitude"],"long_name":-156.4518024,"short_name":-156.4518024}],"distance_from":{"mi":{"flying":{"2116 4th Ave, Seattle, WA, 98121":2659.925808095244},"driving":{"2116 4th Ave, Seattle, WA, 98121":"GOOGLE_MAPS_ERROR_CACHED - No route found!"}}},"duration_from":{"days":{"driving":{"2116 4th Ave, Seattle, WA, 98121":"GOOGLE_MAPS_ERROR_CACHED - No route found!"}}}}</v>
      </c>
      <c r="J125" s="8" t="str">
        <f t="shared" si="3"/>
        <v>[{"long_name":"Little Beach","short_name":"Little Beach","types":["establishment","natural_feature"]},{"types":["locality","political"],"long_name":"Kihei","short_name":"Kihei"},{"types":["administrative_area_level_2","political"],"long_name":"Maui County","short_name":"Maui County"},{"types":["administrative_area_level_1","political"],"long_name":"Hawaii","short_name":"HI"},{"long_name":"United States","short_name":"US","types":["country","political"]},{"long_name":"96753","short_name":"96753","types":["postal_code"]},{"long_name":"JGMX+X7","short_name":"JGMX+X7","types":["plus_code"]},{"types":["locality","political"],"long_name":"Makena","short_name":"Makena"},{"types":["administrative_area_level_2","political"],"long_name":"Maui County","short_name":"Maui County"},{"long_name":"Hawaii","short_name":"HI","types":["administrative_area_level_1","political"]},{"types":["country","political"],"long_name":"United States","short_name":"US"},{"types":["postal_code"],"long_name":"96753","short_name":"96753"},{"types":["latitude"],"long_name":20.6349333,"short_name":20.6349333},{"types":["longitude"],"long_name":-156.4518024,"short_name":-156.4518024},{"types":["debug_info","cache_load_result"],"long_name":"hit","short_name":"hit"}]</v>
      </c>
      <c r="K125" s="9" t="b">
        <f t="shared" ref="K125:K126" si="178">NOT(AND(NOT(_xlfn.ISFORMULA(P125)),AND(NOT(_xlfn.ISFORMULA(Q125)),AND(NOT(_xlfn.ISFORMULA(R125)),AND(NOT(_xlfn.ISFORMULA(S125)),AND(NOT(_xlfn.ISFORMULA(T125)),AND(NOT(_xlfn.ISFORMULA(U125)),AND(NOT(_xlfn.ISFORMULA(V125))))))))))</f>
        <v>1</v>
      </c>
      <c r="L125" s="8" t="b">
        <f t="shared" si="4"/>
        <v>0</v>
      </c>
      <c r="M125" s="10" t="b">
        <v>1</v>
      </c>
      <c r="N125" s="8">
        <f t="shared" ref="N125:N126" si="179">GOOGLEMAPS_GET_ADDRESS_LATITUDE(F125,true)</f>
        <v>20.6349333</v>
      </c>
      <c r="O125" s="8">
        <f t="shared" ref="O125:O126" si="180">GOOGLEMAPS_GET_ADDRESS_LONGITUDE(F125,true)</f>
        <v>-156.4518024</v>
      </c>
      <c r="P125" s="8" t="str">
        <f t="shared" ref="P125:P126" si="181">GOOGLEMAPS_GET_ADDRESS_CITY(F125,true,false)</f>
        <v>Kihei</v>
      </c>
      <c r="Q125" s="8" t="str">
        <f t="shared" ref="Q125:Q126" si="182">GOOGLEMAPS_GET_ADDRESS_STATE(F125,true,false)</f>
        <v>Hawaii</v>
      </c>
      <c r="R125" s="8" t="str">
        <f t="shared" ref="R125:R126" si="183">GOOGLEMAPS_GET_ADDRESS_POSTAL_CODE(F125,false,false)</f>
        <v>96753</v>
      </c>
      <c r="S125" s="8" t="str">
        <f t="shared" ref="S125:S126" si="184">GOOGLEMAPS_GET_ADDRESS_COUNTRY(F125,true,false)</f>
        <v>United States</v>
      </c>
      <c r="T125" s="11" t="str">
        <f t="shared" ref="T125:T126" si="185">IFERROR(GOOGLEMAPS_DISTANCE("2116 4th Ave, Seattle, WA, 98121", F125, "driving")+0,"Not Driveable")</f>
        <v>Not Driveable</v>
      </c>
      <c r="U125" s="12" t="str">
        <f t="shared" ref="U125:U126" si="186">iferror(GOOGLEMAPS_DURATION("2116 4th Ave, Seattle, WA, 98121", F125, "driving")+0,"Not Driveable")</f>
        <v>Not Driveable</v>
      </c>
      <c r="V125" s="13">
        <f t="shared" ref="V125:V126" si="187">GOOGLEMAPS_DISTANCE("2116 4th Ave, Seattle, WA, 98121", F125, "flying")+0</f>
        <v>2659.925808</v>
      </c>
      <c r="X125" s="4" t="str">
        <f t="shared" si="5"/>
        <v>N/A</v>
      </c>
      <c r="Y125" s="4"/>
      <c r="Z125" s="4" t="s">
        <v>38</v>
      </c>
    </row>
    <row r="126">
      <c r="A126" s="3" t="s">
        <v>456</v>
      </c>
      <c r="B126" s="4" t="s">
        <v>509</v>
      </c>
      <c r="C126" s="4" t="s">
        <v>510</v>
      </c>
      <c r="D126" s="4" t="s">
        <v>511</v>
      </c>
      <c r="E126" s="3" t="s">
        <v>81</v>
      </c>
      <c r="F126" s="4" t="s">
        <v>509</v>
      </c>
      <c r="G126" s="6" t="str">
        <f t="shared" si="1"/>
        <v>Link</v>
      </c>
      <c r="H126" s="3" t="s">
        <v>37</v>
      </c>
      <c r="I126" s="7" t="str">
        <f t="shared" si="2"/>
        <v>{"address_components":[{"short_name":"Ni‘ihau","types":["establishment","natural_feature"],"long_name":"Ni‘ihau"},{"short_name":"Kauai County","long_name":"Kauai County","types":["administrative_area_level_2","political"]},{"types":["administrative_area_level_1","political"],"long_name":"Hawaii","short_name":"HI"},{"long_name":"United States","short_name":"US","types":["country","political"]},{"types":["postal_code"],"long_name":"96769","short_name":"96769"},{"long_name":"VRRV+V2","types":["plus_code"],"short_name":"VRRV+V2"},{"short_name":"Puuwai","long_name":"Puuwai","types":["locality","political"]},{"long_name":"Kauai County","short_name":"Kauai County","types":["administrative_area_level_2","political"]},{"short_name":"HI","long_name":"Hawaii","types":["administrative_area_level_1","political"]},{"types":["country","political"],"long_name":"United States","short_name":"US"},{"long_name":"96769","short_name":"96769","types":["postal_code"]},{"types":["latitude"],"long_name":21.8921433,"short_name":21.8921433},{"types":["longitude"],"long_name":-160.1574878,"short_name":-160.1574878}],"distance_from":{"mi":{"driving":{"2116 4th Ave, Seattle, WA, 98121":"GOOGLE_MAPS_ERROR_CACHED - No route found!"},"flying":{"2116 4th Ave, Seattle, WA, 98121":2742.116644090124}}},"duration_from":{"days":{"driving":{"2116 4th Ave, Seattle, WA, 98121":"GOOGLE_MAPS_ERROR_CACHED - No route found!"}}}}</v>
      </c>
      <c r="J126" s="8" t="str">
        <f t="shared" si="3"/>
        <v>[{"short_name":"Ni‘ihau","types":["establishment","natural_feature"],"long_name":"Ni‘ihau"},{"short_name":"Kauai County","long_name":"Kauai County","types":["administrative_area_level_2","political"]},{"types":["administrative_area_level_1","political"],"long_name":"Hawaii","short_name":"HI"},{"long_name":"United States","short_name":"US","types":["country","political"]},{"types":["postal_code"],"long_name":"96769","short_name":"96769"},{"long_name":"VRRV+V2","types":["plus_code"],"short_name":"VRRV+V2"},{"short_name":"Puuwai","long_name":"Puuwai","types":["locality","political"]},{"long_name":"Kauai County","short_name":"Kauai County","types":["administrative_area_level_2","political"]},{"short_name":"HI","long_name":"Hawaii","types":["administrative_area_level_1","political"]},{"types":["country","political"],"long_name":"United States","short_name":"US"},{"long_name":"96769","short_name":"96769","types":["postal_code"]},{"types":["latitude"],"long_name":21.8921433,"short_name":21.8921433},{"types":["longitude"],"long_name":-160.1574878,"short_name":-160.1574878},{"types":["debug_info","cache_load_result"],"long_name":"hit","short_name":"hit"}]</v>
      </c>
      <c r="K126" s="9" t="b">
        <f t="shared" si="178"/>
        <v>1</v>
      </c>
      <c r="L126" s="8" t="b">
        <f t="shared" si="4"/>
        <v>0</v>
      </c>
      <c r="M126" s="10" t="b">
        <v>1</v>
      </c>
      <c r="N126" s="8">
        <f t="shared" si="179"/>
        <v>21.8921433</v>
      </c>
      <c r="O126" s="8">
        <f t="shared" si="180"/>
        <v>-160.1574878</v>
      </c>
      <c r="P126" s="8" t="str">
        <f t="shared" si="181"/>
        <v>Puuwai</v>
      </c>
      <c r="Q126" s="8" t="str">
        <f t="shared" si="182"/>
        <v>Hawaii</v>
      </c>
      <c r="R126" s="8" t="str">
        <f t="shared" si="183"/>
        <v>96769</v>
      </c>
      <c r="S126" s="8" t="str">
        <f t="shared" si="184"/>
        <v>United States</v>
      </c>
      <c r="T126" s="11" t="str">
        <f t="shared" si="185"/>
        <v>Not Driveable</v>
      </c>
      <c r="U126" s="12" t="str">
        <f t="shared" si="186"/>
        <v>Not Driveable</v>
      </c>
      <c r="V126" s="13">
        <f t="shared" si="187"/>
        <v>2742.116644</v>
      </c>
      <c r="X126" s="4" t="str">
        <f t="shared" si="5"/>
        <v>N/A</v>
      </c>
      <c r="Y126" s="4"/>
      <c r="Z126" s="4" t="s">
        <v>38</v>
      </c>
      <c r="AB126" s="14" t="s">
        <v>69</v>
      </c>
    </row>
    <row r="127">
      <c r="A127" s="3" t="s">
        <v>456</v>
      </c>
      <c r="B127" s="4" t="s">
        <v>512</v>
      </c>
      <c r="C127" s="4" t="s">
        <v>513</v>
      </c>
      <c r="D127" s="4" t="s">
        <v>514</v>
      </c>
      <c r="E127" s="3" t="s">
        <v>174</v>
      </c>
      <c r="F127" s="4" t="s">
        <v>512</v>
      </c>
      <c r="G127" s="6" t="str">
        <f t="shared" si="1"/>
        <v>Link</v>
      </c>
      <c r="H127" s="3" t="s">
        <v>37</v>
      </c>
      <c r="I127" s="7" t="str">
        <f t="shared" si="2"/>
        <v>{"address_components":[{"short_name":"Surtsey","long_name":"Surtsey","types":["establishment","natural_feature"]},{"short_name":"Vestmannaeyjabær","types":["administrative_area_level_1","political"],"long_name":"Vestmannaeyjabær"},{"types":["country","political"],"long_name":"Iceland","short_name":"IS"},{"short_name":"99MX892X+WH","long_name":"99MX892X+WH","types":["plus_code"]},{"types":["latitude"],"long_name":63.3022885,"short_name":63.3022885},{"types":["longitude"],"long_name":-20.6010732,"short_name":-20.6010732}]}</v>
      </c>
      <c r="J127" s="8" t="str">
        <f t="shared" si="3"/>
        <v>[{"short_name":"Surtsey","long_name":"Surtsey","types":["establishment","natural_feature"]},{"short_name":"Vestmannaeyjabær","types":["administrative_area_level_1","political"],"long_name":"Vestmannaeyjabær"},{"types":["country","political"],"long_name":"Iceland","short_name":"IS"},{"short_name":"99MX892X+WH","long_name":"99MX892X+WH","types":["plus_code"]},{"types":["latitude"],"long_name":63.3022885,"short_name":63.3022885},{"types":["longitude"],"long_name":-20.6010732,"short_name":-20.6010732},{"types":["debug_info","cache_load_result"],"long_name":"hit","short_name":"hit"}]</v>
      </c>
      <c r="K127" s="9" t="b">
        <f t="shared" ref="K127:K131" si="188">NOT(AND(NOT(_xlfn.ISFORMULA(P127)),AND(NOT(_xlfn.ISFORMULA(Q127)),AND(NOT(_xlfn.ISFORMULA(R127)),AND(NOT(_xlfn.ISFORMULA(S127)),AND(NOT(_xlfn.ISFORMULA(T127)),AND(NOT(_xlfn.ISFORMULA(U127)),AND(NOT(_xlfn.ISFORMULA(V127)),AND(NOT(_xlfn.ISFORMULA(N127)),NOT(_xlfn.ISFORMULA(O127)))))))))))</f>
        <v>0</v>
      </c>
      <c r="L127" s="8" t="b">
        <f t="shared" si="4"/>
        <v>0</v>
      </c>
      <c r="M127" s="10" t="b">
        <v>1</v>
      </c>
      <c r="N127" s="10">
        <v>63.3022885</v>
      </c>
      <c r="O127" s="10">
        <v>-20.6010732</v>
      </c>
      <c r="P127" s="10" t="s">
        <v>55</v>
      </c>
      <c r="Q127" s="10" t="s">
        <v>55</v>
      </c>
      <c r="R127" s="10" t="s">
        <v>55</v>
      </c>
      <c r="S127" s="10" t="s">
        <v>515</v>
      </c>
      <c r="T127" s="19" t="s">
        <v>56</v>
      </c>
      <c r="U127" s="20" t="s">
        <v>56</v>
      </c>
      <c r="V127" s="18">
        <v>3679.6</v>
      </c>
      <c r="X127" s="4" t="str">
        <f t="shared" si="5"/>
        <v>N/A</v>
      </c>
      <c r="Y127" s="4"/>
      <c r="Z127" s="4" t="s">
        <v>38</v>
      </c>
      <c r="AB127" s="14" t="s">
        <v>69</v>
      </c>
    </row>
    <row r="128" hidden="1">
      <c r="A128" s="3" t="s">
        <v>456</v>
      </c>
      <c r="B128" s="4" t="s">
        <v>516</v>
      </c>
      <c r="C128" s="4" t="s">
        <v>517</v>
      </c>
      <c r="D128" s="4" t="s">
        <v>518</v>
      </c>
      <c r="E128" s="3" t="s">
        <v>174</v>
      </c>
      <c r="F128" s="4" t="s">
        <v>516</v>
      </c>
      <c r="G128" s="6" t="str">
        <f t="shared" si="1"/>
        <v>Link</v>
      </c>
      <c r="H128" s="3" t="s">
        <v>323</v>
      </c>
      <c r="I128" s="7" t="str">
        <f t="shared" si="2"/>
        <v>{"address_components":[{"short_name":"North Brother Island","long_name":"North Brother Island","types":["establishment","natural_feature"]},{"types":["political","sublocality","sublocality_level_1"],"long_name":"The Bronx","short_name":"Bronx"},{"long_name":"Bronx County","types":["administrative_area_level_2","political"],"short_name":"Bronx County"},{"long_name":"New York","types":["administrative_area_level_1","political"],"short_name":"NY"},{"long_name":"United States","types":["country","political"],"short_name":"US"},{"types":["postal_code"],"short_name":"10454","long_name":"10454"},{"long_name":"Tuberculosis Pavilion","types":["premise"],"short_name":"Tuberculosis Pavilion"},{"long_name":"The Bronx","types":["political","sublocality","sublocality_level_1"],"short_name":"Bronx"},{"long_name":"Bronx County","types":["administrative_area_level_2","political"],"short_name":"Bronx County"},{"types":["administrative_area_level_1","political"],"short_name":"NY","long_name":"New York"},{"types":["country","political"],"long_name":"United States","short_name":"US"},{"long_name":"10454","types":["postal_code"],"short_name":"10454"},{"types":["latitude"],"long_name":40.8007201,"short_name":40.8007201},{"types":["longitude"],"long_name":-73.8981368,"short_name":-73.8981368}]}</v>
      </c>
      <c r="J128" s="8" t="str">
        <f t="shared" si="3"/>
        <v>[{"short_name":"North Brother Island","long_name":"North Brother Island","types":["establishment","natural_feature"]},{"types":["political","sublocality","sublocality_level_1"],"long_name":"The Bronx","short_name":"Bronx"},{"long_name":"Bronx County","types":["administrative_area_level_2","political"],"short_name":"Bronx County"},{"long_name":"New York","types":["administrative_area_level_1","political"],"short_name":"NY"},{"long_name":"United States","types":["country","political"],"short_name":"US"},{"types":["postal_code"],"short_name":"10454","long_name":"10454"},{"long_name":"Tuberculosis Pavilion","types":["premise"],"short_name":"Tuberculosis Pavilion"},{"long_name":"The Bronx","types":["political","sublocality","sublocality_level_1"],"short_name":"Bronx"},{"long_name":"Bronx County","types":["administrative_area_level_2","political"],"short_name":"Bronx County"},{"types":["administrative_area_level_1","political"],"short_name":"NY","long_name":"New York"},{"types":["country","political"],"long_name":"United States","short_name":"US"},{"long_name":"10454","types":["postal_code"],"short_name":"10454"},{"types":["latitude"],"long_name":40.8007201,"short_name":40.8007201},{"types":["longitude"],"long_name":-73.8981368,"short_name":-73.8981368},{"types":["debug_info","cache_load_result"],"long_name":"hit","short_name":"hit"}]</v>
      </c>
      <c r="K128" s="9" t="b">
        <f t="shared" si="188"/>
        <v>0</v>
      </c>
      <c r="L128" s="8" t="b">
        <f t="shared" si="4"/>
        <v>1</v>
      </c>
      <c r="M128" s="10" t="b">
        <v>1</v>
      </c>
      <c r="N128" s="10">
        <v>40.8007201</v>
      </c>
      <c r="O128" s="10">
        <v>-73.8981368</v>
      </c>
      <c r="P128" s="10" t="s">
        <v>519</v>
      </c>
      <c r="Q128" s="10" t="s">
        <v>519</v>
      </c>
      <c r="R128" s="10">
        <v>10454.0</v>
      </c>
      <c r="S128" s="10" t="s">
        <v>47</v>
      </c>
      <c r="T128" s="19">
        <v>2860.7</v>
      </c>
      <c r="U128" s="32">
        <v>1.775462962962963</v>
      </c>
      <c r="V128" s="18">
        <v>2404.45</v>
      </c>
      <c r="X128" s="4" t="str">
        <f t="shared" si="5"/>
        <v>N/A</v>
      </c>
      <c r="Y128" s="4"/>
      <c r="Z128" s="4" t="s">
        <v>38</v>
      </c>
      <c r="AB128" s="14" t="s">
        <v>69</v>
      </c>
    </row>
    <row r="129">
      <c r="A129" s="34" t="s">
        <v>456</v>
      </c>
      <c r="B129" s="4" t="s">
        <v>520</v>
      </c>
      <c r="C129" s="4"/>
      <c r="D129" s="4"/>
      <c r="E129" s="3" t="s">
        <v>43</v>
      </c>
      <c r="F129" s="4" t="s">
        <v>521</v>
      </c>
      <c r="G129" s="6" t="str">
        <f t="shared" si="1"/>
        <v>Link</v>
      </c>
      <c r="H129" s="3" t="s">
        <v>219</v>
      </c>
      <c r="I129" s="8" t="str">
        <f t="shared" si="2"/>
        <v>{"address_components":[{"short_name":"8","long_name":"8","types":["street_number"]},{"short_name":"Hissitie","long_name":"Hissitie","types":["route"]},{"short_name":"Kittilä","long_name":"Kittilä","types":["locality","political"]},{"short_name":"Kittilä","long_name":"Kittilä","types":["administrative_area_level_3","political"]},{"long_name":"Tunturi-Lappi","types":["administrative_area_level_2","political"],"short_name":"Tunturi-Lappi"},{"long_name":"Lappi","types":["administrative_area_level_1","political"],"short_name":"Lappi"},{"long_name":"Finland","types":["country","political"],"short_name":"FI"},{"long_name":"99130","types":["postal_code"],"short_name":"99130"},{"long_name":"8","types":["street_number"],"short_name":"8"},{"long_name":"Hissitie","types":["route"],"short_name":"Hissitie"},{"long_name":"Kittilä","types":["locality","political"],"short_name":"Kittilä"},{"short_name":"Kittilä","long_name":"Kittilä","types":["administrative_area_level_3","political"]},{"short_name":"Tunturi-Lappi","long_name":"Tunturi-Lappi","types":["administrative_area_level_2","political"]},{"long_name":"Lappi","types":["administrative_area_level_1","political"],"short_name":"Lappi"},{"short_name":"FI","long_name":"Finland","types":["country","political"]},{"long_name":"99130","types":["postal_code"],"short_name":"99130"},{"types":["latitude"],"long_name":67.80409809999999,"short_name":67.80409809999999},{"types":["longitude"],"long_name":24.8082183,"short_name":24.8082183}]}</v>
      </c>
      <c r="J129" s="8" t="str">
        <f t="shared" si="3"/>
        <v>[{"short_name":"8","long_name":"8","types":["street_number"]},{"short_name":"Hissitie","long_name":"Hissitie","types":["route"]},{"short_name":"Kittilä","long_name":"Kittilä","types":["locality","political"]},{"short_name":"Kittilä","long_name":"Kittilä","types":["administrative_area_level_3","political"]},{"long_name":"Tunturi-Lappi","types":["administrative_area_level_2","political"],"short_name":"Tunturi-Lappi"},{"long_name":"Lappi","types":["administrative_area_level_1","political"],"short_name":"Lappi"},{"long_name":"Finland","types":["country","political"],"short_name":"FI"},{"long_name":"99130","types":["postal_code"],"short_name":"99130"},{"long_name":"8","types":["street_number"],"short_name":"8"},{"long_name":"Hissitie","types":["route"],"short_name":"Hissitie"},{"long_name":"Kittilä","types":["locality","political"],"short_name":"Kittilä"},{"short_name":"Kittilä","long_name":"Kittilä","types":["administrative_area_level_3","political"]},{"short_name":"Tunturi-Lappi","long_name":"Tunturi-Lappi","types":["administrative_area_level_2","political"]},{"long_name":"Lappi","types":["administrative_area_level_1","political"],"short_name":"Lappi"},{"short_name":"FI","long_name":"Finland","types":["country","political"]},{"long_name":"99130","types":["postal_code"],"short_name":"99130"},{"types":["latitude"],"long_name":67.80409809999999,"short_name":67.80409809999999},{"types":["longitude"],"long_name":24.8082183,"short_name":24.8082183},{"types":["debug_info","cache_load_result"],"long_name":"hit","short_name":"hit"}]</v>
      </c>
      <c r="K129" s="9" t="b">
        <f t="shared" si="188"/>
        <v>0</v>
      </c>
      <c r="L129" s="8" t="b">
        <f t="shared" si="4"/>
        <v>1</v>
      </c>
      <c r="M129" s="10" t="b">
        <v>1</v>
      </c>
      <c r="N129" s="10">
        <v>67.8041426</v>
      </c>
      <c r="O129" s="10">
        <v>24.8082382</v>
      </c>
      <c r="P129" s="10" t="s">
        <v>522</v>
      </c>
      <c r="Q129" s="10" t="s">
        <v>55</v>
      </c>
      <c r="R129" s="10">
        <v>99130.0</v>
      </c>
      <c r="S129" s="10" t="s">
        <v>279</v>
      </c>
      <c r="T129" s="19" t="s">
        <v>56</v>
      </c>
      <c r="U129" s="20" t="s">
        <v>56</v>
      </c>
      <c r="V129" s="18">
        <v>4281.66</v>
      </c>
      <c r="X129" s="4" t="str">
        <f t="shared" si="5"/>
        <v>N/A</v>
      </c>
      <c r="Y129" s="4"/>
      <c r="Z129" s="4" t="s">
        <v>38</v>
      </c>
    </row>
    <row r="130">
      <c r="A130" s="34" t="s">
        <v>456</v>
      </c>
      <c r="B130" s="4" t="s">
        <v>523</v>
      </c>
      <c r="C130" s="4"/>
      <c r="D130" s="4"/>
      <c r="E130" s="3" t="s">
        <v>43</v>
      </c>
      <c r="F130" s="4" t="s">
        <v>524</v>
      </c>
      <c r="G130" s="6" t="str">
        <f t="shared" si="1"/>
        <v>Link</v>
      </c>
      <c r="H130" s="3" t="s">
        <v>219</v>
      </c>
      <c r="I130" s="8" t="str">
        <f t="shared" si="2"/>
        <v>{"address_components":[{"short_name":"700","types":["street_number"],"long_name":"700"},{"long_name":"Sodankyläntie","types":["route"],"short_name":"Sodankyläntie"},{"short_name":"Rovaniemi","long_name":"Rovaniemi","types":["locality","political"]},{"short_name":"Rovaniemi","long_name":"Rovaniemi","types":["administrative_area_level_3","political"]},{"long_name":"Rovaniemi","short_name":"Rovaniemi","types":["administrative_area_level_2","political"]},{"short_name":"Lappi","long_name":"Lappi","types":["administrative_area_level_1","political"]},{"types":["country","political"],"short_name":"FI","long_name":"Finland"},{"long_name":"96930","types":["postal_code"],"short_name":"96930"},{"short_name":"700","long_name":"700","types":["street_number"]},{"short_name":"Sodankyläntie","long_name":"Sodankyläntie","types":["route"]},{"types":["locality","political"],"long_name":"Rovaniemi","short_name":"Rovaniemi"},{"short_name":"Rovaniemi","long_name":"Rovaniemi","types":["administrative_area_level_3","political"]},{"short_name":"Rovaniemi","types":["administrative_area_level_2","political"],"long_name":"Rovaniemi"},{"types":["administrative_area_level_1","political"],"short_name":"Lappi","long_name":"Lappi"},{"long_name":"Finland","types":["country","political"],"short_name":"FI"},{"long_name":"96930","types":["postal_code"],"short_name":"96930"},{"types":["latitude"],"long_name":66.5434217,"short_name":66.5434217},{"types":["longitude"],"long_name":25.8395873,"short_name":25.8395873}]}</v>
      </c>
      <c r="J130" s="8" t="str">
        <f t="shared" si="3"/>
        <v>[{"short_name":"700","types":["street_number"],"long_name":"700"},{"long_name":"Sodankyläntie","types":["route"],"short_name":"Sodankyläntie"},{"short_name":"Rovaniemi","long_name":"Rovaniemi","types":["locality","political"]},{"short_name":"Rovaniemi","long_name":"Rovaniemi","types":["administrative_area_level_3","political"]},{"long_name":"Rovaniemi","short_name":"Rovaniemi","types":["administrative_area_level_2","political"]},{"short_name":"Lappi","long_name":"Lappi","types":["administrative_area_level_1","political"]},{"types":["country","political"],"short_name":"FI","long_name":"Finland"},{"long_name":"96930","types":["postal_code"],"short_name":"96930"},{"short_name":"700","long_name":"700","types":["street_number"]},{"short_name":"Sodankyläntie","long_name":"Sodankyläntie","types":["route"]},{"types":["locality","political"],"long_name":"Rovaniemi","short_name":"Rovaniemi"},{"short_name":"Rovaniemi","long_name":"Rovaniemi","types":["administrative_area_level_3","political"]},{"short_name":"Rovaniemi","types":["administrative_area_level_2","political"],"long_name":"Rovaniemi"},{"types":["administrative_area_level_1","political"],"short_name":"Lappi","long_name":"Lappi"},{"long_name":"Finland","types":["country","political"],"short_name":"FI"},{"long_name":"96930","types":["postal_code"],"short_name":"96930"},{"types":["latitude"],"long_name":66.5434217,"short_name":66.5434217},{"types":["longitude"],"long_name":25.8395873,"short_name":25.8395873},{"types":["debug_info","cache_load_result"],"long_name":"hit","short_name":"hit"}]</v>
      </c>
      <c r="K130" s="9" t="b">
        <f t="shared" si="188"/>
        <v>0</v>
      </c>
      <c r="L130" s="8" t="b">
        <f t="shared" si="4"/>
        <v>1</v>
      </c>
      <c r="M130" s="10" t="b">
        <v>1</v>
      </c>
      <c r="N130" s="10">
        <v>66.5434217</v>
      </c>
      <c r="O130" s="10">
        <v>25.8395873</v>
      </c>
      <c r="P130" s="10" t="s">
        <v>525</v>
      </c>
      <c r="Q130" s="10" t="s">
        <v>55</v>
      </c>
      <c r="R130" s="10">
        <v>96930.0</v>
      </c>
      <c r="S130" s="10" t="s">
        <v>279</v>
      </c>
      <c r="T130" s="19" t="s">
        <v>56</v>
      </c>
      <c r="U130" s="20" t="s">
        <v>56</v>
      </c>
      <c r="V130" s="18">
        <v>4372.48</v>
      </c>
      <c r="X130" s="4" t="str">
        <f t="shared" si="5"/>
        <v>N/A</v>
      </c>
      <c r="Y130" s="4"/>
      <c r="Z130" s="4" t="s">
        <v>38</v>
      </c>
    </row>
    <row r="131">
      <c r="A131" s="3" t="s">
        <v>456</v>
      </c>
      <c r="B131" s="4" t="s">
        <v>526</v>
      </c>
      <c r="C131" s="35" t="s">
        <v>527</v>
      </c>
      <c r="D131" s="35"/>
      <c r="E131" s="5"/>
      <c r="F131" s="4" t="s">
        <v>528</v>
      </c>
      <c r="G131" s="6" t="str">
        <f t="shared" si="1"/>
        <v>Link</v>
      </c>
      <c r="H131" s="3" t="s">
        <v>45</v>
      </c>
      <c r="I131" s="8" t="str">
        <f t="shared" si="2"/>
        <v>{"address_components":[{"types":["locality","political"],"short_name":"Vorkuta","long_name":"Vorkuta"},{"long_name":"Gorod Vorkuta","types":["administrative_area_level_2","political"],"short_name":"Gorod Vorkuta"},{"short_name":"Komi Republic","long_name":"Komi Republic","types":["administrative_area_level_1","political"]},{"types":["country","political"],"short_name":"RU","long_name":"Russia"},{"long_name":"38","short_name":"38","types":["street_number"]},{"types":["route"],"long_name":"Ulitsa Lenina","short_name":"Ulitsa Lenina"},{"short_name":"Vorkuta","long_name":"Vorkuta","types":["locality","political"]},{"short_name":"Gorod Vorkuta","types":["administrative_area_level_2","political"],"long_name":"Gorod Vorkuta"},{"types":["administrative_area_level_1","political"],"short_name":"Respúblika Kómi","long_name":"Respúblika Kómi"},{"short_name":"RU","long_name":"Russia","types":["country","political"]},{"types":["postal_code"],"long_name":"169900","short_name":"169900"},{"types":["latitude"],"long_name":67.4968967,"short_name":67.4968967},{"types":["longitude"],"long_name":64.0602175,"short_name":64.0602175}]}</v>
      </c>
      <c r="J131" s="8" t="str">
        <f t="shared" si="3"/>
        <v>[{"types":["locality","political"],"short_name":"Vorkuta","long_name":"Vorkuta"},{"long_name":"Gorod Vorkuta","types":["administrative_area_level_2","political"],"short_name":"Gorod Vorkuta"},{"short_name":"Komi Republic","long_name":"Komi Republic","types":["administrative_area_level_1","political"]},{"types":["country","political"],"short_name":"RU","long_name":"Russia"},{"long_name":"38","short_name":"38","types":["street_number"]},{"types":["route"],"long_name":"Ulitsa Lenina","short_name":"Ulitsa Lenina"},{"short_name":"Vorkuta","long_name":"Vorkuta","types":["locality","political"]},{"short_name":"Gorod Vorkuta","types":["administrative_area_level_2","political"],"long_name":"Gorod Vorkuta"},{"types":["administrative_area_level_1","political"],"short_name":"Respúblika Kómi","long_name":"Respúblika Kómi"},{"short_name":"RU","long_name":"Russia","types":["country","political"]},{"types":["postal_code"],"long_name":"169900","short_name":"169900"},{"types":["latitude"],"long_name":67.4968967,"short_name":67.4968967},{"types":["longitude"],"long_name":64.0602175,"short_name":64.0602175},{"types":["debug_info","cache_load_result"],"long_name":"hit","short_name":"hit"}]</v>
      </c>
      <c r="K131" s="9" t="b">
        <f t="shared" si="188"/>
        <v>0</v>
      </c>
      <c r="L131" s="8" t="b">
        <f t="shared" si="4"/>
        <v>1</v>
      </c>
      <c r="M131" s="10" t="b">
        <v>1</v>
      </c>
      <c r="N131" s="10">
        <v>67.4968967</v>
      </c>
      <c r="O131" s="10">
        <v>64.0602175</v>
      </c>
      <c r="P131" s="10" t="s">
        <v>529</v>
      </c>
      <c r="Q131" s="10" t="s">
        <v>530</v>
      </c>
      <c r="R131" s="10">
        <v>169900.0</v>
      </c>
      <c r="S131" s="10" t="s">
        <v>315</v>
      </c>
      <c r="T131" s="19" t="s">
        <v>56</v>
      </c>
      <c r="U131" s="20" t="s">
        <v>56</v>
      </c>
      <c r="V131" s="18">
        <v>4476.36</v>
      </c>
      <c r="X131" s="4" t="str">
        <f t="shared" si="5"/>
        <v>N/A</v>
      </c>
      <c r="Y131" s="4"/>
      <c r="Z131" s="4" t="s">
        <v>38</v>
      </c>
    </row>
    <row r="132" hidden="1">
      <c r="A132" s="3" t="s">
        <v>456</v>
      </c>
      <c r="B132" s="4" t="s">
        <v>531</v>
      </c>
      <c r="C132" s="4" t="s">
        <v>532</v>
      </c>
      <c r="D132" s="4" t="s">
        <v>533</v>
      </c>
      <c r="E132" s="3" t="s">
        <v>68</v>
      </c>
      <c r="F132" s="4" t="s">
        <v>531</v>
      </c>
      <c r="G132" s="6" t="str">
        <f t="shared" si="1"/>
        <v>Link</v>
      </c>
      <c r="H132" s="3" t="s">
        <v>534</v>
      </c>
      <c r="I132" s="7" t="str">
        <f t="shared" si="2"/>
        <v>{"address_components":[{"types":["premise"],"long_name":"Jiang Su Guo Jia An Quan Jiao Yu Guan","short_name":"Jiang Su Guo Jia An Quan Jiao Yu Guan"},{"short_name":"中华门","long_name":"中华门","types":["neighborhood","political"]},{"types":["political","sublocality","sublocality_level_1"],"long_name":"Yu Hua Tai Qu","short_name":"Yu Hua Tai Qu"},{"long_name":"Nan Jing Shi","short_name":"Nan Jing Shi","types":["locality","political"]},{"long_name":"Jiang Su Sheng","types":["administrative_area_level_1","political"],"short_name":"Jiang Su Sheng"},{"long_name":"China","short_name":"CN","types":["country","political"]},{"long_name":"210006","types":["postal_code"],"short_name":"210006"},{"short_name":"Jiang Su Guo Jia An Quan Jiao Yu Guan","long_name":"Jiang Su Guo Jia An Quan Jiao Yu Guan","types":["premise"]},{"long_name":"中华门","short_name":"中华门","types":["neighborhood","political"]},{"types":["political","sublocality","sublocality_level_1"],"long_name":"Yu Hua Tai Qu","short_name":"Yu Hua Tai Qu"},{"short_name":"Nan Jing Shi","long_name":"Nan Jing Shi","types":["locality","political"]},{"long_name":"Jiang Su Sheng","short_name":"Jiang Su Sheng","types":["administrative_area_level_1","political"]},{"long_name":"China","short_name":"CN","types":["country","political"]},{"long_name":"210006","short_name":"210006","types":["postal_code"]},{"types":["latitude"],"long_name":32.0000986,"short_name":32.0000986},{"types":["longitude"],"long_name":118.7811497,"short_name":118.7811497}],"duration_from":{"days":{"driving":{"2116 4th Ave, Seattle, WA, 98121":"GOOGLE_MAPS_ERROR_CACHED - No route found!"}}},"distance_from":{"mi":{"driving":{"2116 4th Ave, Seattle, WA, 98121":"GOOGLE_MAPS_ERROR_CACHED - No route found!"},"flying":{"2116 4th Ave, Seattle, WA, 98121":5760.836740527173}}}}</v>
      </c>
      <c r="J132" s="8" t="str">
        <f t="shared" si="3"/>
        <v>[{"types":["premise"],"long_name":"Jiang Su Guo Jia An Quan Jiao Yu Guan","short_name":"Jiang Su Guo Jia An Quan Jiao Yu Guan"},{"short_name":"中华门","long_name":"中华门","types":["neighborhood","political"]},{"types":["political","sublocality","sublocality_level_1"],"long_name":"Yu Hua Tai Qu","short_name":"Yu Hua Tai Qu"},{"long_name":"Nan Jing Shi","short_name":"Nan Jing Shi","types":["locality","political"]},{"long_name":"Jiang Su Sheng","types":["administrative_area_level_1","political"],"short_name":"Jiang Su Sheng"},{"long_name":"China","short_name":"CN","types":["country","political"]},{"long_name":"210006","types":["postal_code"],"short_name":"210006"},{"short_name":"Jiang Su Guo Jia An Quan Jiao Yu Guan","long_name":"Jiang Su Guo Jia An Quan Jiao Yu Guan","types":["premise"]},{"long_name":"中华门","short_name":"中华门","types":["neighborhood","political"]},{"types":["political","sublocality","sublocality_level_1"],"long_name":"Yu Hua Tai Qu","short_name":"Yu Hua Tai Qu"},{"short_name":"Nan Jing Shi","long_name":"Nan Jing Shi","types":["locality","political"]},{"long_name":"Jiang Su Sheng","short_name":"Jiang Su Sheng","types":["administrative_area_level_1","political"]},{"long_name":"China","short_name":"CN","types":["country","political"]},{"long_name":"210006","short_name":"210006","types":["postal_code"]},{"types":["latitude"],"long_name":32.0000986,"short_name":32.0000986},{"types":["longitude"],"long_name":118.7811497,"short_name":118.7811497},{"types":["debug_info","cache_load_result"],"long_name":"hit","short_name":"hit"}]</v>
      </c>
      <c r="K132" s="9" t="b">
        <f>NOT(AND(NOT(_xlfn.ISFORMULA(P132)),AND(NOT(_xlfn.ISFORMULA(Q132)),AND(NOT(_xlfn.ISFORMULA(R132)),AND(NOT(_xlfn.ISFORMULA(S132)),AND(NOT(_xlfn.ISFORMULA(T132)),AND(NOT(_xlfn.ISFORMULA(U132)),AND(NOT(_xlfn.ISFORMULA(V132))))))))))</f>
        <v>1</v>
      </c>
      <c r="L132" s="8" t="b">
        <f t="shared" si="4"/>
        <v>0</v>
      </c>
      <c r="M132" s="15" t="b">
        <v>1</v>
      </c>
      <c r="N132" s="8">
        <f>GOOGLEMAPS_GET_ADDRESS_LATITUDE(F132,true)</f>
        <v>32.0000986</v>
      </c>
      <c r="O132" s="8">
        <f>GOOGLEMAPS_GET_ADDRESS_LONGITUDE(F132,true)</f>
        <v>118.7811497</v>
      </c>
      <c r="P132" s="8" t="str">
        <f>GOOGLEMAPS_GET_ADDRESS_CITY(F132,true,false)</f>
        <v>Nan Jing Shi</v>
      </c>
      <c r="Q132" s="8" t="str">
        <f>GOOGLEMAPS_GET_ADDRESS_STATE(F132,true,false)</f>
        <v>Jiang Su Sheng</v>
      </c>
      <c r="R132" s="8" t="str">
        <f>GOOGLEMAPS_GET_ADDRESS_POSTAL_CODE(F132,false,false)</f>
        <v>210006</v>
      </c>
      <c r="S132" s="8" t="str">
        <f>GOOGLEMAPS_GET_ADDRESS_COUNTRY(F132,true,false)</f>
        <v>China</v>
      </c>
      <c r="T132" s="11" t="str">
        <f>IFERROR(GOOGLEMAPS_DISTANCE("2116 4th Ave, Seattle, WA, 98121", F132, "driving")+0,"Not Driveable")</f>
        <v>Not Driveable</v>
      </c>
      <c r="U132" s="12" t="str">
        <f>iferror(GOOGLEMAPS_DURATION("2116 4th Ave, Seattle, WA, 98121", F132, "driving")+0,"Not Driveable")</f>
        <v>Not Driveable</v>
      </c>
      <c r="V132" s="13">
        <f>GOOGLEMAPS_DISTANCE("2116 4th Ave, Seattle, WA, 98121", F132, "flying")+0</f>
        <v>5760.836741</v>
      </c>
      <c r="X132" s="4" t="str">
        <f t="shared" si="5"/>
        <v>N/A</v>
      </c>
      <c r="Y132" s="4"/>
      <c r="Z132" s="4" t="s">
        <v>38</v>
      </c>
      <c r="AB132" s="14" t="s">
        <v>69</v>
      </c>
    </row>
    <row r="133">
      <c r="A133" s="3" t="s">
        <v>456</v>
      </c>
      <c r="B133" s="4" t="s">
        <v>535</v>
      </c>
      <c r="C133" s="4" t="s">
        <v>536</v>
      </c>
      <c r="D133" s="4" t="s">
        <v>537</v>
      </c>
      <c r="E133" s="5"/>
      <c r="F133" s="4" t="s">
        <v>535</v>
      </c>
      <c r="G133" s="6" t="str">
        <f t="shared" si="1"/>
        <v>Link</v>
      </c>
      <c r="H133" s="5"/>
      <c r="I133" s="7" t="str">
        <f t="shared" si="2"/>
        <v>{"address_components":[{"long_name":"Menwith Hill","types":["locality","political"],"short_name":"Menwith Hill"},{"long_name":"Harrogate","short_name":"Harrogate","types":["postal_town"]},{"short_name":"North Yorkshire","types":["administrative_area_level_2","political"],"long_name":"North Yorkshire"},{"long_name":"England","short_name":"England","types":["administrative_area_level_1","political"]},{"long_name":"United Kingdom","short_name":"GB","types":["country","political"]},{"long_name":"HG3","short_name":"HG3","types":["postal_code","postal_code_prefix"]},{"short_name":"2865+HW","long_name":"2865+HW","types":["plus_code"]},{"types":["postal_town"],"long_name":"Harrogate","short_name":"Harrogate"},{"types":["administrative_area_level_2","political"],"short_name":"North Yorkshire","long_name":"North Yorkshire"},{"short_name":"England","types":["administrative_area_level_1","political"],"long_name":"England"},{"long_name":"United Kingdom","short_name":"GB","types":["country","political"]},{"types":["latitude"],"long_name":54.0114606,"short_name":54.0114606},{"types":["longitude"],"long_name":-1.6901547,"short_name":-1.6901547}]}</v>
      </c>
      <c r="J133" s="8" t="str">
        <f t="shared" si="3"/>
        <v>[{"long_name":"Menwith Hill","types":["locality","political"],"short_name":"Menwith Hill"},{"long_name":"Harrogate","short_name":"Harrogate","types":["postal_town"]},{"short_name":"North Yorkshire","types":["administrative_area_level_2","political"],"long_name":"North Yorkshire"},{"long_name":"England","short_name":"England","types":["administrative_area_level_1","political"]},{"long_name":"United Kingdom","short_name":"GB","types":["country","political"]},{"long_name":"HG3","short_name":"HG3","types":["postal_code","postal_code_prefix"]},{"short_name":"2865+HW","long_name":"2865+HW","types":["plus_code"]},{"types":["postal_town"],"long_name":"Harrogate","short_name":"Harrogate"},{"types":["administrative_area_level_2","political"],"short_name":"North Yorkshire","long_name":"North Yorkshire"},{"short_name":"England","types":["administrative_area_level_1","political"],"long_name":"England"},{"long_name":"United Kingdom","short_name":"GB","types":["country","political"]},{"types":["latitude"],"long_name":54.0114606,"short_name":54.0114606},{"types":["longitude"],"long_name":-1.6901547,"short_name":-1.6901547},{"types":["debug_info","cache_load_result"],"long_name":"hit","short_name":"hit"}]</v>
      </c>
      <c r="K133" s="9" t="b">
        <f t="shared" ref="K133:K135" si="189">NOT(AND(NOT(_xlfn.ISFORMULA(P133)),AND(NOT(_xlfn.ISFORMULA(Q133)),AND(NOT(_xlfn.ISFORMULA(R133)),AND(NOT(_xlfn.ISFORMULA(S133)),AND(NOT(_xlfn.ISFORMULA(T133)),AND(NOT(_xlfn.ISFORMULA(U133)),AND(NOT(_xlfn.ISFORMULA(V133)),AND(NOT(_xlfn.ISFORMULA(N133)),NOT(_xlfn.ISFORMULA(O133)))))))))))</f>
        <v>0</v>
      </c>
      <c r="L133" s="8" t="b">
        <f t="shared" si="4"/>
        <v>1</v>
      </c>
      <c r="M133" s="10" t="b">
        <v>1</v>
      </c>
      <c r="N133" s="10">
        <v>54.0114606</v>
      </c>
      <c r="O133" s="10">
        <v>-1.6901547</v>
      </c>
      <c r="P133" s="36" t="s">
        <v>538</v>
      </c>
      <c r="Q133" s="10" t="s">
        <v>62</v>
      </c>
      <c r="R133" s="10" t="s">
        <v>539</v>
      </c>
      <c r="S133" s="10" t="s">
        <v>64</v>
      </c>
      <c r="T133" s="19" t="s">
        <v>56</v>
      </c>
      <c r="U133" s="20" t="s">
        <v>56</v>
      </c>
      <c r="V133" s="18">
        <v>4607.9</v>
      </c>
      <c r="X133" s="4" t="str">
        <f t="shared" si="5"/>
        <v>N/A</v>
      </c>
      <c r="Y133" s="4"/>
      <c r="Z133" s="4" t="s">
        <v>38</v>
      </c>
      <c r="AB133" s="14" t="s">
        <v>69</v>
      </c>
    </row>
    <row r="134" hidden="1">
      <c r="A134" s="3" t="s">
        <v>456</v>
      </c>
      <c r="B134" s="4" t="s">
        <v>540</v>
      </c>
      <c r="C134" s="4"/>
      <c r="D134" s="4"/>
      <c r="E134" s="5"/>
      <c r="F134" s="4" t="s">
        <v>541</v>
      </c>
      <c r="G134" s="6" t="str">
        <f t="shared" si="1"/>
        <v>Link</v>
      </c>
      <c r="H134" s="3" t="s">
        <v>136</v>
      </c>
      <c r="I134" s="8" t="str">
        <f t="shared" si="2"/>
        <v>{"address_components":[{"long_name":"1009","short_name":"1009","types":["street_number"]},{"long_name":"South Mill Street","short_name":"S Mill St","types":["route"]},{"long_name":"Colfax","types":["locality","political"],"short_name":"Colfax"},{"types":["administrative_area_level_2","political"],"long_name":"Whitman County","short_name":"Whitman County"},{"types":["administrative_area_level_1","political"],"short_name":"WA","long_name":"Washington"},{"long_name":"United States","short_name":"US","types":["country","political"]},{"types":["postal_code"],"short_name":"99111","long_name":"99111"},{"types":["street_number"],"long_name":"1009","short_name":"1009"},{"long_name":"South Mill Street","short_name":"S Mill St","types":["route"]},{"long_name":"Colfax","short_name":"Colfax","types":["locality","political"]},{"types":["administrative_area_level_2","political"],"long_name":"Whitman County","short_name":"Whitman County"},{"types":["administrative_area_level_1","political"],"long_name":"Washington","short_name":"WA"},{"types":["country","political"],"long_name":"United States","short_name":"US"},{"types":["postal_code"],"long_name":"99111","short_name":"99111"},{"types":["latitude"],"long_name":46.8710731,"short_name":46.8710731},{"types":["longitude"],"long_name":-117.3635172,"short_name":-117.3635172}]}</v>
      </c>
      <c r="J134" s="8" t="str">
        <f t="shared" si="3"/>
        <v>[{"long_name":"1009","short_name":"1009","types":["street_number"]},{"long_name":"South Mill Street","short_name":"S Mill St","types":["route"]},{"long_name":"Colfax","types":["locality","political"],"short_name":"Colfax"},{"types":["administrative_area_level_2","political"],"long_name":"Whitman County","short_name":"Whitman County"},{"types":["administrative_area_level_1","political"],"short_name":"WA","long_name":"Washington"},{"long_name":"United States","short_name":"US","types":["country","political"]},{"types":["postal_code"],"short_name":"99111","long_name":"99111"},{"types":["street_number"],"long_name":"1009","short_name":"1009"},{"long_name":"South Mill Street","short_name":"S Mill St","types":["route"]},{"long_name":"Colfax","short_name":"Colfax","types":["locality","political"]},{"types":["administrative_area_level_2","political"],"long_name":"Whitman County","short_name":"Whitman County"},{"types":["administrative_area_level_1","political"],"long_name":"Washington","short_name":"WA"},{"types":["country","political"],"long_name":"United States","short_name":"US"},{"types":["postal_code"],"long_name":"99111","short_name":"99111"},{"types":["latitude"],"long_name":46.8710731,"short_name":46.8710731},{"types":["longitude"],"long_name":-117.3635172,"short_name":-117.3635172},{"types":["debug_info","cache_load_result"],"long_name":"hit","short_name":"hit"}]</v>
      </c>
      <c r="K134" s="9" t="b">
        <f t="shared" si="189"/>
        <v>0</v>
      </c>
      <c r="L134" s="8" t="b">
        <f t="shared" si="4"/>
        <v>1</v>
      </c>
      <c r="M134" s="10" t="b">
        <v>1</v>
      </c>
      <c r="N134" s="10">
        <v>46.8710731</v>
      </c>
      <c r="O134" s="10">
        <v>-117.3635172</v>
      </c>
      <c r="P134" s="10" t="s">
        <v>542</v>
      </c>
      <c r="Q134" s="10" t="s">
        <v>193</v>
      </c>
      <c r="R134" s="10">
        <v>99111.0</v>
      </c>
      <c r="S134" s="10" t="s">
        <v>47</v>
      </c>
      <c r="T134" s="19">
        <v>270.1</v>
      </c>
      <c r="U134" s="32">
        <v>0.18224537037037036</v>
      </c>
      <c r="V134" s="18">
        <v>239.05</v>
      </c>
      <c r="W134" s="4"/>
      <c r="X134" s="4" t="str">
        <f t="shared" si="5"/>
        <v>N/A</v>
      </c>
      <c r="Y134" s="4"/>
      <c r="Z134" s="4" t="s">
        <v>38</v>
      </c>
    </row>
    <row r="135" hidden="1">
      <c r="A135" s="3" t="s">
        <v>456</v>
      </c>
      <c r="B135" s="4" t="s">
        <v>543</v>
      </c>
      <c r="C135" s="4" t="s">
        <v>544</v>
      </c>
      <c r="D135" s="4"/>
      <c r="E135" s="5"/>
      <c r="F135" s="4" t="s">
        <v>545</v>
      </c>
      <c r="G135" s="6" t="str">
        <f t="shared" si="1"/>
        <v>Link</v>
      </c>
      <c r="H135" s="3" t="s">
        <v>136</v>
      </c>
      <c r="I135" s="8" t="str">
        <f t="shared" si="2"/>
        <v>{"address_components":[{"long_name":"Poughkeepsie","short_name":"Poughkeepsie","types":["locality","political"]},{"types":["administrative_area_level_2","political"],"long_name":"Dutchess County","short_name":"Dutchess County"},{"short_name":"NY","types":["administrative_area_level_1","political"],"long_name":"New York"},{"short_name":"US","types":["country","political"],"long_name":"United States"},{"long_name":"40","short_name":"40","types":["street_number"]},{"short_name":"Civic Center Plaza","types":["route"],"long_name":"Civic Center Plaza"},{"long_name":"Poughkeepsie","short_name":"Poughkeepsie","types":["locality","political"]},{"long_name":"Dutchess County","short_name":"Dutchess County","types":["administrative_area_level_2","political"]},{"short_name":"NY","types":["administrative_area_level_1","political"],"long_name":"New York"},{"long_name":"United States","short_name":"US","types":["country","political"]},{"short_name":"12601","types":["postal_code"],"long_name":"12601"},{"types":["latitude"],"long_name":41.7055897,"short_name":41.7055897},{"types":["longitude"],"long_name":-73.9283885,"short_name":-73.9283885}]}</v>
      </c>
      <c r="J135" s="8" t="str">
        <f t="shared" si="3"/>
        <v>[{"long_name":"Poughkeepsie","short_name":"Poughkeepsie","types":["locality","political"]},{"types":["administrative_area_level_2","political"],"long_name":"Dutchess County","short_name":"Dutchess County"},{"short_name":"NY","types":["administrative_area_level_1","political"],"long_name":"New York"},{"short_name":"US","types":["country","political"],"long_name":"United States"},{"long_name":"40","short_name":"40","types":["street_number"]},{"short_name":"Civic Center Plaza","types":["route"],"long_name":"Civic Center Plaza"},{"long_name":"Poughkeepsie","short_name":"Poughkeepsie","types":["locality","political"]},{"long_name":"Dutchess County","short_name":"Dutchess County","types":["administrative_area_level_2","political"]},{"short_name":"NY","types":["administrative_area_level_1","political"],"long_name":"New York"},{"long_name":"United States","short_name":"US","types":["country","political"]},{"short_name":"12601","types":["postal_code"],"long_name":"12601"},{"types":["latitude"],"long_name":41.7055897,"short_name":41.7055897},{"types":["longitude"],"long_name":-73.9283885,"short_name":-73.9283885},{"types":["debug_info","cache_load_result"],"long_name":"hit","short_name":"hit"}]</v>
      </c>
      <c r="K135" s="9" t="b">
        <f t="shared" si="189"/>
        <v>0</v>
      </c>
      <c r="L135" s="8" t="b">
        <f t="shared" si="4"/>
        <v>1</v>
      </c>
      <c r="M135" s="10" t="b">
        <v>1</v>
      </c>
      <c r="N135" s="10">
        <v>41.7003713</v>
      </c>
      <c r="O135" s="10">
        <v>-73.9209701</v>
      </c>
      <c r="P135" s="10" t="s">
        <v>546</v>
      </c>
      <c r="Q135" s="10" t="s">
        <v>519</v>
      </c>
      <c r="R135" s="10" t="s">
        <v>55</v>
      </c>
      <c r="S135" s="10" t="s">
        <v>47</v>
      </c>
      <c r="T135" s="19">
        <v>2858.8</v>
      </c>
      <c r="U135" s="32">
        <v>1.7796527777777778</v>
      </c>
      <c r="V135" s="18">
        <v>2374.88</v>
      </c>
      <c r="W135" s="4"/>
      <c r="X135" s="4" t="str">
        <f t="shared" si="5"/>
        <v>N/A</v>
      </c>
      <c r="Y135" s="4"/>
      <c r="Z135" s="4" t="s">
        <v>38</v>
      </c>
      <c r="AB135" s="14" t="s">
        <v>547</v>
      </c>
      <c r="AF135" s="4" t="s">
        <v>548</v>
      </c>
    </row>
    <row r="136">
      <c r="A136" s="3" t="s">
        <v>456</v>
      </c>
      <c r="B136" s="4" t="s">
        <v>549</v>
      </c>
      <c r="C136" s="4" t="s">
        <v>550</v>
      </c>
      <c r="D136" s="4" t="s">
        <v>551</v>
      </c>
      <c r="E136" s="5"/>
      <c r="F136" s="4" t="s">
        <v>549</v>
      </c>
      <c r="G136" s="6" t="str">
        <f t="shared" si="1"/>
        <v>Link</v>
      </c>
      <c r="H136" s="5"/>
      <c r="I136" s="7" t="str">
        <f t="shared" si="2"/>
        <v>{"address_components":[{"short_name":"Fukushima","types":["locality","political"],"long_name":"Fukushima"},{"long_name":"Fukushima","short_name":"Fukushima","types":["administrative_area_level_1","political"]},{"long_name":"Japan","short_name":"JP","types":["country","political"]},{"short_name":"1","types":["premise"],"long_name":"1"},{"long_name":"4","short_name":"4","types":["political","sublocality","sublocality_level_4"]},{"short_name":"Gorōuchimachi","types":["political","sublocality","sublocality_level_2"],"long_name":"Gorōuchimachi"},{"long_name":"Fukushima","short_name":"Fukushima","types":["locality","political"]},{"long_name":"Fukushima","short_name":"Fukushima","types":["administrative_area_level_1","political"]},{"short_name":"JP","types":["country","political"],"long_name":"Japan"},{"short_name":"960-8111","types":["postal_code"],"long_name":"960-8111"},{"types":["latitude"],"long_name":37.7607991,"short_name":37.7607991},{"types":["longitude"],"long_name":140.4747856,"short_name":140.4747856}],"duration_from":{"days":{"driving":{"2116 4th Ave, Seattle, WA, 98121":"GOOGLE_MAPS_ERROR_CACHED - No route found!"}}},"distance_from":{"mi":{"driving":{"2116 4th Ave, Seattle, WA, 98121":"GOOGLE_MAPS_ERROR_CACHED - No route found!"},"flying":{"2116 4th Ave, Seattle, WA, 98121":4651.019051288106}}}}</v>
      </c>
      <c r="J136" s="8" t="str">
        <f t="shared" si="3"/>
        <v>[{"short_name":"Fukushima","types":["locality","political"],"long_name":"Fukushima"},{"long_name":"Fukushima","short_name":"Fukushima","types":["administrative_area_level_1","political"]},{"long_name":"Japan","short_name":"JP","types":["country","political"]},{"short_name":"1","types":["premise"],"long_name":"1"},{"long_name":"4","short_name":"4","types":["political","sublocality","sublocality_level_4"]},{"short_name":"Gorōuchimachi","types":["political","sublocality","sublocality_level_2"],"long_name":"Gorōuchimachi"},{"long_name":"Fukushima","short_name":"Fukushima","types":["locality","political"]},{"long_name":"Fukushima","short_name":"Fukushima","types":["administrative_area_level_1","political"]},{"short_name":"JP","types":["country","political"],"long_name":"Japan"},{"short_name":"960-8111","types":["postal_code"],"long_name":"960-8111"},{"types":["latitude"],"long_name":37.7607991,"short_name":37.7607991},{"types":["longitude"],"long_name":140.4747856,"short_name":140.4747856},{"types":["debug_info","cache_load_result"],"long_name":"hit","short_name":"hit"}]</v>
      </c>
      <c r="K136" s="9" t="b">
        <f>NOT(AND(NOT(_xlfn.ISFORMULA(P136)),AND(NOT(_xlfn.ISFORMULA(Q136)),AND(NOT(_xlfn.ISFORMULA(R136)),AND(NOT(_xlfn.ISFORMULA(S136)),AND(NOT(_xlfn.ISFORMULA(T136)),AND(NOT(_xlfn.ISFORMULA(U136)),AND(NOT(_xlfn.ISFORMULA(V136))))))))))</f>
        <v>1</v>
      </c>
      <c r="L136" s="8" t="b">
        <f t="shared" si="4"/>
        <v>1</v>
      </c>
      <c r="M136" s="10" t="b">
        <v>1</v>
      </c>
      <c r="N136" s="8">
        <f>GOOGLEMAPS_GET_ADDRESS_LATITUDE(F136,true)</f>
        <v>37.7607991</v>
      </c>
      <c r="O136" s="8">
        <f>GOOGLEMAPS_GET_ADDRESS_LONGITUDE(F136,true)</f>
        <v>140.4747856</v>
      </c>
      <c r="P136" s="8" t="str">
        <f>GOOGLEMAPS_GET_ADDRESS_CITY(F136,true,false)</f>
        <v>Fukushima</v>
      </c>
      <c r="Q136" s="8" t="str">
        <f>GOOGLEMAPS_GET_ADDRESS_STATE(F136,true,false)</f>
        <v>Fukushima</v>
      </c>
      <c r="R136" s="8" t="str">
        <f>GOOGLEMAPS_GET_ADDRESS_POSTAL_CODE(F136,false,false)</f>
        <v>960-8111</v>
      </c>
      <c r="S136" s="8" t="str">
        <f>GOOGLEMAPS_GET_ADDRESS_COUNTRY(F136,true,false)</f>
        <v>Japan</v>
      </c>
      <c r="T136" s="11" t="str">
        <f>IFERROR(GOOGLEMAPS_DISTANCE("2116 4th Ave, Seattle, WA, 98121", F136, "driving")+0,"Not Driveable")</f>
        <v>Not Driveable</v>
      </c>
      <c r="U136" s="12" t="str">
        <f>iferror(GOOGLEMAPS_DURATION("2116 4th Ave, Seattle, WA, 98121", F136, "driving")+0,"Not Driveable")</f>
        <v>Not Driveable</v>
      </c>
      <c r="V136" s="13">
        <f>GOOGLEMAPS_DISTANCE("2116 4th Ave, Seattle, WA, 98121", F136, "flying")+0</f>
        <v>4651.019051</v>
      </c>
      <c r="X136" s="4" t="str">
        <f t="shared" si="5"/>
        <v>N/A</v>
      </c>
      <c r="Y136" s="4"/>
      <c r="Z136" s="4" t="s">
        <v>38</v>
      </c>
      <c r="AB136" s="14" t="s">
        <v>69</v>
      </c>
    </row>
    <row r="137" hidden="1">
      <c r="A137" s="34" t="s">
        <v>456</v>
      </c>
      <c r="B137" s="4" t="s">
        <v>552</v>
      </c>
      <c r="C137" s="4"/>
      <c r="D137" s="4"/>
      <c r="E137" s="5"/>
      <c r="F137" s="4" t="s">
        <v>553</v>
      </c>
      <c r="G137" s="6" t="str">
        <f t="shared" si="1"/>
        <v>Link</v>
      </c>
      <c r="H137" s="3" t="s">
        <v>323</v>
      </c>
      <c r="I137" s="8" t="str">
        <f t="shared" si="2"/>
        <v>{"address_components":[{"types":["street_number"],"long_name":"1503","short_name":"1503"},{"types":["route"],"long_name":"South 1600 East","short_name":"S 1600 E"},{"short_name":"Preston","long_name":"Preston","types":["locality","political"]},{"long_name":"Franklin County","types":["administrative_area_level_2","political"],"short_name":"Franklin County"},{"types":["administrative_area_level_1","political"],"short_name":"ID","long_name":"Idaho"},{"long_name":"United States","types":["country","political"],"short_name":"US"},{"short_name":"83263","types":["postal_code"],"long_name":"83263"},{"short_name":"1617","long_name":"1617","types":["street_number"]},{"long_name":"South 1300 East","short_name":"S 1300 E","types":["route"]},{"types":["locality","political"],"long_name":"Preston","short_name":"Preston"},{"types":["administrative_area_level_2","political"],"long_name":"Franklin County","short_name":"Franklin County"},{"short_name":"ID","long_name":"Idaho","types":["administrative_area_level_1","political"]},{"short_name":"US","long_name":"United States","types":["country","political"]},{"types":["postal_code"],"long_name":"83263","short_name":"83263"},{"long_name":"5498","types":["postal_code_suffix"],"short_name":"5498"},{"types":["latitude"],"long_name":42.0675972,"short_name":42.0675972},{"types":["longitude"],"long_name":-111.8444322,"short_name":-111.8444322}]}</v>
      </c>
      <c r="J137" s="8" t="str">
        <f t="shared" si="3"/>
        <v>[{"types":["street_number"],"long_name":"1503","short_name":"1503"},{"types":["route"],"long_name":"South 1600 East","short_name":"S 1600 E"},{"short_name":"Preston","long_name":"Preston","types":["locality","political"]},{"long_name":"Franklin County","types":["administrative_area_level_2","political"],"short_name":"Franklin County"},{"types":["administrative_area_level_1","political"],"short_name":"ID","long_name":"Idaho"},{"long_name":"United States","types":["country","political"],"short_name":"US"},{"short_name":"83263","types":["postal_code"],"long_name":"83263"},{"short_name":"1617","long_name":"1617","types":["street_number"]},{"long_name":"South 1300 East","short_name":"S 1300 E","types":["route"]},{"types":["locality","political"],"long_name":"Preston","short_name":"Preston"},{"types":["administrative_area_level_2","political"],"long_name":"Franklin County","short_name":"Franklin County"},{"short_name":"ID","long_name":"Idaho","types":["administrative_area_level_1","political"]},{"short_name":"US","long_name":"United States","types":["country","political"]},{"types":["postal_code"],"long_name":"83263","short_name":"83263"},{"long_name":"5498","types":["postal_code_suffix"],"short_name":"5498"},{"types":["latitude"],"long_name":42.0675972,"short_name":42.0675972},{"types":["longitude"],"long_name":-111.8444322,"short_name":-111.8444322},{"types":["debug_info","cache_load_result"],"long_name":"hit","short_name":"hit"}]</v>
      </c>
      <c r="K137" s="9" t="b">
        <f t="shared" ref="K137:K139" si="190">NOT(AND(NOT(_xlfn.ISFORMULA(P137)),AND(NOT(_xlfn.ISFORMULA(Q137)),AND(NOT(_xlfn.ISFORMULA(R137)),AND(NOT(_xlfn.ISFORMULA(S137)),AND(NOT(_xlfn.ISFORMULA(T137)),AND(NOT(_xlfn.ISFORMULA(U137)),AND(NOT(_xlfn.ISFORMULA(V137)),AND(NOT(_xlfn.ISFORMULA(N137)),NOT(_xlfn.ISFORMULA(O137)))))))))))</f>
        <v>0</v>
      </c>
      <c r="L137" s="8" t="b">
        <f t="shared" si="4"/>
        <v>1</v>
      </c>
      <c r="M137" s="10" t="b">
        <v>1</v>
      </c>
      <c r="N137" s="10">
        <v>42.0675972</v>
      </c>
      <c r="O137" s="10">
        <v>-111.8444322</v>
      </c>
      <c r="P137" s="10" t="s">
        <v>554</v>
      </c>
      <c r="Q137" s="10" t="s">
        <v>555</v>
      </c>
      <c r="R137" s="10">
        <v>83263.0</v>
      </c>
      <c r="S137" s="10" t="s">
        <v>47</v>
      </c>
      <c r="T137" s="19">
        <v>798.4</v>
      </c>
      <c r="U137" s="32">
        <v>0.5126388888888889</v>
      </c>
      <c r="V137" s="18">
        <v>640.45</v>
      </c>
      <c r="X137" s="4" t="str">
        <f t="shared" si="5"/>
        <v>N/A</v>
      </c>
      <c r="Z137" s="4" t="s">
        <v>38</v>
      </c>
    </row>
    <row r="138" hidden="1">
      <c r="A138" s="34" t="s">
        <v>456</v>
      </c>
      <c r="B138" s="4" t="s">
        <v>556</v>
      </c>
      <c r="C138" s="4"/>
      <c r="D138" s="4"/>
      <c r="E138" s="5"/>
      <c r="F138" s="4" t="s">
        <v>557</v>
      </c>
      <c r="G138" s="6" t="str">
        <f t="shared" si="1"/>
        <v>Link</v>
      </c>
      <c r="H138" s="3" t="s">
        <v>323</v>
      </c>
      <c r="I138" s="8" t="str">
        <f t="shared" si="2"/>
        <v>{"address_components":[{"long_name":"Burke","types":["locality","political"],"short_name":"Burke"},{"long_name":"Shoshone County","types":["administrative_area_level_2","political"],"short_name":"Shoshone County"},{"long_name":"Idaho","types":["administrative_area_level_1","political"],"short_name":"ID"},{"long_name":"United States","short_name":"US","types":["country","political"]},{"long_name":"83873","types":["postal_code"],"short_name":"83873"},{"types":["street_number"],"short_name":"6329","long_name":"6329"},{"long_name":"Burke Canyon Road","types":["route"],"short_name":"Burke Cyn Rd"},{"long_name":"Wallace","types":["locality","political"],"short_name":"Wallace"},{"long_name":"Shoshone County","types":["administrative_area_level_2","political"],"short_name":"Shoshone County"},{"long_name":"Idaho","types":["administrative_area_level_1","political"],"short_name":"ID"},{"types":["country","political"],"short_name":"US","long_name":"United States"},{"short_name":"83873","types":["postal_code"],"long_name":"83873"},{"short_name":"9618","long_name":"9618","types":["postal_code_suffix"]},{"types":["latitude"],"long_name":47.520278,"short_name":47.520278},{"types":["longitude"],"long_name":-115.819167,"short_name":-115.819167}]}</v>
      </c>
      <c r="J138" s="8" t="str">
        <f t="shared" si="3"/>
        <v>[{"long_name":"Burke","types":["locality","political"],"short_name":"Burke"},{"long_name":"Shoshone County","types":["administrative_area_level_2","political"],"short_name":"Shoshone County"},{"long_name":"Idaho","types":["administrative_area_level_1","political"],"short_name":"ID"},{"long_name":"United States","short_name":"US","types":["country","political"]},{"long_name":"83873","types":["postal_code"],"short_name":"83873"},{"types":["street_number"],"short_name":"6329","long_name":"6329"},{"long_name":"Burke Canyon Road","types":["route"],"short_name":"Burke Cyn Rd"},{"long_name":"Wallace","types":["locality","political"],"short_name":"Wallace"},{"long_name":"Shoshone County","types":["administrative_area_level_2","political"],"short_name":"Shoshone County"},{"long_name":"Idaho","types":["administrative_area_level_1","political"],"short_name":"ID"},{"types":["country","political"],"short_name":"US","long_name":"United States"},{"short_name":"83873","types":["postal_code"],"long_name":"83873"},{"short_name":"9618","long_name":"9618","types":["postal_code_suffix"]},{"types":["latitude"],"long_name":47.520278,"short_name":47.520278},{"types":["longitude"],"long_name":-115.819167,"short_name":-115.819167},{"types":["debug_info","cache_load_result"],"long_name":"hit","short_name":"hit"}]</v>
      </c>
      <c r="K138" s="9" t="b">
        <f t="shared" si="190"/>
        <v>0</v>
      </c>
      <c r="L138" s="8" t="b">
        <f t="shared" si="4"/>
        <v>1</v>
      </c>
      <c r="M138" s="10" t="b">
        <v>1</v>
      </c>
      <c r="N138" s="10">
        <v>47.520278</v>
      </c>
      <c r="O138" s="10">
        <v>-115.819167</v>
      </c>
      <c r="P138" s="10" t="s">
        <v>558</v>
      </c>
      <c r="Q138" s="10" t="s">
        <v>555</v>
      </c>
      <c r="R138" s="10">
        <v>83873.0</v>
      </c>
      <c r="S138" s="10" t="s">
        <v>47</v>
      </c>
      <c r="T138" s="19">
        <v>366.0</v>
      </c>
      <c r="U138" s="32">
        <v>0.24462962962962964</v>
      </c>
      <c r="V138" s="18">
        <v>304.05</v>
      </c>
      <c r="X138" s="4" t="str">
        <f t="shared" si="5"/>
        <v>N/A</v>
      </c>
      <c r="Z138" s="4" t="s">
        <v>38</v>
      </c>
    </row>
    <row r="139" hidden="1">
      <c r="A139" s="3" t="s">
        <v>456</v>
      </c>
      <c r="B139" s="4" t="s">
        <v>559</v>
      </c>
      <c r="C139" s="4"/>
      <c r="D139" s="4"/>
      <c r="E139" s="5"/>
      <c r="F139" s="4" t="s">
        <v>559</v>
      </c>
      <c r="G139" s="6" t="str">
        <f t="shared" si="1"/>
        <v>Link</v>
      </c>
      <c r="H139" s="3" t="s">
        <v>323</v>
      </c>
      <c r="I139" s="8" t="str">
        <f t="shared" si="2"/>
        <v>{"address_components":[{"long_name":"801","short_name":"801","types":["street_number"]},{"short_name":"Carrie Furnace Blvd","types":["route"],"long_name":"Carrie Furnace Boulevard"},{"types":["locality","political"],"long_name":"Pittsburgh","short_name":"Pittsburgh"},{"long_name":"Allegheny County","short_name":"Allegheny County","types":["administrative_area_level_2","political"]},{"short_name":"PA","long_name":"Pennsylvania","types":["administrative_area_level_1","political"]},{"types":["country","political"],"long_name":"United States","short_name":"US"},{"long_name":"15218","short_name":"15218","types":["postal_code"]},{"short_name":"801","types":["street_number"],"long_name":"801"},{"long_name":"Carrie Furnace Boulevard","types":["route"],"short_name":"Carrie Furnace Blvd"},{"long_name":"Rankin","short_name":"Rankin","types":["locality","political"]},{"long_name":"Allegheny County","short_name":"Allegheny County","types":["administrative_area_level_2","political"]},{"long_name":"Pennsylvania","short_name":"PA","types":["administrative_area_level_1","political"]},{"long_name":"United States","types":["country","political"],"short_name":"US"},{"long_name":"15104","types":["postal_code"],"short_name":"15104"},{"types":["latitude"],"long_name":40.4139414,"short_name":40.4139414},{"types":["longitude"],"long_name":-79.8897941,"short_name":-79.8897941}]}</v>
      </c>
      <c r="J139" s="8" t="str">
        <f t="shared" si="3"/>
        <v>[{"long_name":"801","short_name":"801","types":["street_number"]},{"short_name":"Carrie Furnace Blvd","types":["route"],"long_name":"Carrie Furnace Boulevard"},{"types":["locality","political"],"long_name":"Pittsburgh","short_name":"Pittsburgh"},{"long_name":"Allegheny County","short_name":"Allegheny County","types":["administrative_area_level_2","political"]},{"short_name":"PA","long_name":"Pennsylvania","types":["administrative_area_level_1","political"]},{"types":["country","political"],"long_name":"United States","short_name":"US"},{"long_name":"15218","short_name":"15218","types":["postal_code"]},{"short_name":"801","types":["street_number"],"long_name":"801"},{"long_name":"Carrie Furnace Boulevard","types":["route"],"short_name":"Carrie Furnace Blvd"},{"long_name":"Rankin","short_name":"Rankin","types":["locality","political"]},{"long_name":"Allegheny County","short_name":"Allegheny County","types":["administrative_area_level_2","political"]},{"long_name":"Pennsylvania","short_name":"PA","types":["administrative_area_level_1","political"]},{"long_name":"United States","types":["country","political"],"short_name":"US"},{"long_name":"15104","types":["postal_code"],"short_name":"15104"},{"types":["latitude"],"long_name":40.4139414,"short_name":40.4139414},{"types":["longitude"],"long_name":-79.8897941,"short_name":-79.8897941},{"types":["debug_info","cache_load_result"],"long_name":"hit","short_name":"hit"}]</v>
      </c>
      <c r="K139" s="9" t="b">
        <f t="shared" si="190"/>
        <v>0</v>
      </c>
      <c r="L139" s="8" t="b">
        <f t="shared" si="4"/>
        <v>1</v>
      </c>
      <c r="M139" s="10" t="b">
        <v>1</v>
      </c>
      <c r="N139" s="10">
        <v>40.4139414</v>
      </c>
      <c r="O139" s="10">
        <v>-79.8897941</v>
      </c>
      <c r="P139" s="10" t="s">
        <v>560</v>
      </c>
      <c r="Q139" s="10" t="s">
        <v>46</v>
      </c>
      <c r="R139" s="10">
        <v>15218.0</v>
      </c>
      <c r="S139" s="10" t="s">
        <v>47</v>
      </c>
      <c r="T139" s="19">
        <v>2532.6</v>
      </c>
      <c r="U139" s="32">
        <v>1.5398611111111111</v>
      </c>
      <c r="V139" s="18">
        <v>2138.88</v>
      </c>
      <c r="X139" s="4" t="str">
        <f t="shared" si="5"/>
        <v>N/A</v>
      </c>
      <c r="Y139" s="4"/>
      <c r="Z139" s="4" t="s">
        <v>38</v>
      </c>
    </row>
    <row r="140" hidden="1">
      <c r="A140" s="34" t="s">
        <v>456</v>
      </c>
      <c r="B140" s="4" t="s">
        <v>561</v>
      </c>
      <c r="C140" s="4"/>
      <c r="D140" s="4"/>
      <c r="E140" s="5"/>
      <c r="F140" s="4" t="s">
        <v>562</v>
      </c>
      <c r="G140" s="6" t="str">
        <f t="shared" si="1"/>
        <v>Link</v>
      </c>
      <c r="H140" s="3" t="s">
        <v>323</v>
      </c>
      <c r="I140" s="8" t="str">
        <f t="shared" si="2"/>
        <v>{"address_components":[{"long_name":"2445","types":["street_number"],"short_name":"2445"},{"short_name":"Old Penitentiary Rd","long_name":"Old Penitentiary Road","types":["route"]},{"long_name":"East End","types":["neighborhood","political"],"short_name":"East End"},{"long_name":"Boise","types":["locality","political"],"short_name":"Boise"},{"short_name":"Ada County","long_name":"Ada County","types":["administrative_area_level_2","political"]},{"short_name":"ID","long_name":"Idaho","types":["administrative_area_level_1","political"]},{"long_name":"United States","types":["country","political"],"short_name":"US"},{"short_name":"83712","long_name":"83712","types":["postal_code"]},{"short_name":"2445","long_name":"2445","types":["street_number"]},{"short_name":"Old Penitentiary Rd","long_name":"Old Penitentiary Road","types":["route"]},{"short_name":"East End","long_name":"East End","types":["neighborhood","political"]},{"long_name":"Boise","types":["locality","political"],"short_name":"Boise"},{"long_name":"Ada County","types":["administrative_area_level_2","political"],"short_name":"Ada County"},{"long_name":"Idaho","types":["administrative_area_level_1","political"],"short_name":"ID"},{"short_name":"US","long_name":"United States","types":["country","political"]},{"short_name":"83712","long_name":"83712","types":["postal_code"]},{"types":["latitude"],"long_name":43.6027935,"short_name":43.6027935},{"types":["longitude"],"long_name":-116.1619792,"short_name":-116.1619792}],"distance_from":{"mi":{"driving":{"2116 4th Ave, Seattle, WA, 98121":497.63505536431086},"flying":{"2116 4th Ave, Seattle, WA, 98121":407.25017709122994}}},"duration_from":{"days":{"driving":{"2116 4th Ave, Seattle, WA, 98121":0.32814814814814813}}}}</v>
      </c>
      <c r="J140" s="8" t="str">
        <f t="shared" si="3"/>
        <v>[{"long_name":"2445","types":["street_number"],"short_name":"2445"},{"short_name":"Old Penitentiary Rd","long_name":"Old Penitentiary Road","types":["route"]},{"long_name":"East End","types":["neighborhood","political"],"short_name":"East End"},{"long_name":"Boise","types":["locality","political"],"short_name":"Boise"},{"short_name":"Ada County","long_name":"Ada County","types":["administrative_area_level_2","political"]},{"short_name":"ID","long_name":"Idaho","types":["administrative_area_level_1","political"]},{"long_name":"United States","types":["country","political"],"short_name":"US"},{"short_name":"83712","long_name":"83712","types":["postal_code"]},{"short_name":"2445","long_name":"2445","types":["street_number"]},{"short_name":"Old Penitentiary Rd","long_name":"Old Penitentiary Road","types":["route"]},{"short_name":"East End","long_name":"East End","types":["neighborhood","political"]},{"long_name":"Boise","types":["locality","political"],"short_name":"Boise"},{"long_name":"Ada County","types":["administrative_area_level_2","political"],"short_name":"Ada County"},{"long_name":"Idaho","types":["administrative_area_level_1","political"],"short_name":"ID"},{"short_name":"US","long_name":"United States","types":["country","political"]},{"short_name":"83712","long_name":"83712","types":["postal_code"]},{"types":["latitude"],"long_name":43.6027935,"short_name":43.6027935},{"types":["longitude"],"long_name":-116.1619792,"short_name":-116.1619792},{"types":["debug_info","cache_load_result"],"long_name":"hit","short_name":"hit"}]</v>
      </c>
      <c r="K140" s="9" t="b">
        <f t="shared" ref="K140:K141" si="191">NOT(AND(NOT(_xlfn.ISFORMULA(P140)),AND(NOT(_xlfn.ISFORMULA(Q140)),AND(NOT(_xlfn.ISFORMULA(R140)),AND(NOT(_xlfn.ISFORMULA(S140)),AND(NOT(_xlfn.ISFORMULA(T140)),AND(NOT(_xlfn.ISFORMULA(U140)),AND(NOT(_xlfn.ISFORMULA(V140))))))))))</f>
        <v>1</v>
      </c>
      <c r="L140" s="8" t="b">
        <f t="shared" si="4"/>
        <v>0</v>
      </c>
      <c r="M140" s="10" t="b">
        <v>1</v>
      </c>
      <c r="N140" s="8">
        <f t="shared" ref="N140:N141" si="192">GOOGLEMAPS_GET_ADDRESS_LATITUDE(F140,true)</f>
        <v>43.6027935</v>
      </c>
      <c r="O140" s="8">
        <f t="shared" ref="O140:O141" si="193">GOOGLEMAPS_GET_ADDRESS_LONGITUDE(F140,true)</f>
        <v>-116.1619792</v>
      </c>
      <c r="P140" s="8" t="str">
        <f t="shared" ref="P140:P141" si="194">GOOGLEMAPS_GET_ADDRESS_CITY(F140,true,false)</f>
        <v>Boise</v>
      </c>
      <c r="Q140" s="8" t="str">
        <f t="shared" ref="Q140:Q141" si="195">GOOGLEMAPS_GET_ADDRESS_STATE(F140,true,false)</f>
        <v>Idaho</v>
      </c>
      <c r="R140" s="8" t="str">
        <f t="shared" ref="R140:R141" si="196">GOOGLEMAPS_GET_ADDRESS_POSTAL_CODE(F140,false,false)</f>
        <v>83712</v>
      </c>
      <c r="S140" s="8" t="str">
        <f t="shared" ref="S140:S141" si="197">GOOGLEMAPS_GET_ADDRESS_COUNTRY(F140,true,false)</f>
        <v>United States</v>
      </c>
      <c r="T140" s="11">
        <f t="shared" ref="T140:T141" si="198">IFERROR(GOOGLEMAPS_DISTANCE("2116 4th Ave, Seattle, WA, 98121", F140, "driving")+0,"Not Driveable")</f>
        <v>497.6350554</v>
      </c>
      <c r="U140" s="12">
        <f t="shared" ref="U140:U141" si="199">iferror(GOOGLEMAPS_DURATION("2116 4th Ave, Seattle, WA, 98121", F140, "driving")+0,"Not Driveable")</f>
        <v>0.3281481481</v>
      </c>
      <c r="V140" s="13">
        <f t="shared" ref="V140:V141" si="200">GOOGLEMAPS_DISTANCE("2116 4th Ave, Seattle, WA, 98121", F140, "flying")+0</f>
        <v>407.2501771</v>
      </c>
      <c r="X140" s="4" t="str">
        <f t="shared" si="5"/>
        <v>N/A</v>
      </c>
      <c r="Z140" s="4" t="s">
        <v>38</v>
      </c>
    </row>
    <row r="141" hidden="1">
      <c r="A141" s="3" t="s">
        <v>456</v>
      </c>
      <c r="B141" s="4" t="s">
        <v>563</v>
      </c>
      <c r="E141" s="5"/>
      <c r="F141" s="4" t="s">
        <v>563</v>
      </c>
      <c r="G141" s="6" t="str">
        <f t="shared" si="1"/>
        <v>Link</v>
      </c>
      <c r="H141" s="3" t="s">
        <v>187</v>
      </c>
      <c r="I141" s="7" t="str">
        <f t="shared" si="2"/>
        <v>{"distance_from":{"mi":{"flying":{"2116 4th Ave, Seattle, WA, 98121":3094.3231386779676},"driving":{"2116 4th Ave, Seattle, WA, 98121":4234.354455863895}}},"address_components":[{"long_name":"Dildo","short_name":"Dildo","types":["locality","political"]},{"long_name":"Newfoundland and Labrador","short_name":"NL","types":["administrative_area_level_1","political"]},{"short_name":"CA","types":["country","political"],"long_name":"Canada"},{"short_name":"A0B","types":["postal_code","postal_code_prefix"],"long_name":"A0B"},{"long_name":"6","short_name":"6","types":["street_number"]},{"long_name":"Hill Road","short_name":"Hill Rd","types":["route"]},{"short_name":"Dildo","types":["locality","political"],"long_name":"Dildo"},{"long_name":"Newfoundland and Labrador","short_name":"NL","types":["administrative_area_level_1","political"]},{"long_name":"Canada","short_name":"CA","types":["country","political"]},{"short_name":"A0B 1P0","types":["postal_code"],"long_name":"A0B 1P0"},{"types":["latitude"],"long_name":47.5706202,"short_name":47.5706202},{"types":["longitude"],"long_name":-53.5555661,"short_name":-53.5555661}],"duration_from":{"days":{"driving":{"2116 4th Ave, Seattle, WA, 98121":3.0483796296296295}}}}</v>
      </c>
      <c r="J141" s="8" t="str">
        <f t="shared" si="3"/>
        <v>[{"long_name":"Dildo","short_name":"Dildo","types":["locality","political"]},{"long_name":"Newfoundland and Labrador","short_name":"NL","types":["administrative_area_level_1","political"]},{"short_name":"CA","types":["country","political"],"long_name":"Canada"},{"short_name":"A0B","types":["postal_code","postal_code_prefix"],"long_name":"A0B"},{"long_name":"6","short_name":"6","types":["street_number"]},{"long_name":"Hill Road","short_name":"Hill Rd","types":["route"]},{"short_name":"Dildo","types":["locality","political"],"long_name":"Dildo"},{"long_name":"Newfoundland and Labrador","short_name":"NL","types":["administrative_area_level_1","political"]},{"long_name":"Canada","short_name":"CA","types":["country","political"]},{"short_name":"A0B 1P0","types":["postal_code"],"long_name":"A0B 1P0"},{"types":["latitude"],"long_name":47.5706202,"short_name":47.5706202},{"types":["longitude"],"long_name":-53.5555661,"short_name":-53.5555661},{"types":["debug_info","cache_load_result"],"long_name":"hit","short_name":"hit"}]</v>
      </c>
      <c r="K141" s="9" t="b">
        <f t="shared" si="191"/>
        <v>1</v>
      </c>
      <c r="L141" s="8" t="b">
        <f t="shared" si="4"/>
        <v>1</v>
      </c>
      <c r="M141" s="10" t="b">
        <v>1</v>
      </c>
      <c r="N141" s="8">
        <f t="shared" si="192"/>
        <v>47.5706202</v>
      </c>
      <c r="O141" s="8">
        <f t="shared" si="193"/>
        <v>-53.5555661</v>
      </c>
      <c r="P141" s="8" t="str">
        <f t="shared" si="194"/>
        <v>Dildo</v>
      </c>
      <c r="Q141" s="8" t="str">
        <f t="shared" si="195"/>
        <v>Newfoundland and Labrador</v>
      </c>
      <c r="R141" s="8" t="str">
        <f t="shared" si="196"/>
        <v>A0B</v>
      </c>
      <c r="S141" s="8" t="str">
        <f t="shared" si="197"/>
        <v>Canada</v>
      </c>
      <c r="T141" s="11">
        <f t="shared" si="198"/>
        <v>4234.354456</v>
      </c>
      <c r="U141" s="12">
        <f t="shared" si="199"/>
        <v>3.04837963</v>
      </c>
      <c r="V141" s="13">
        <f t="shared" si="200"/>
        <v>3094.323139</v>
      </c>
      <c r="X141" s="4" t="str">
        <f t="shared" si="5"/>
        <v>N/A</v>
      </c>
      <c r="Y141" s="4"/>
      <c r="Z141" s="4" t="s">
        <v>38</v>
      </c>
    </row>
    <row r="142" hidden="1">
      <c r="A142" s="34" t="s">
        <v>456</v>
      </c>
      <c r="B142" s="4" t="s">
        <v>564</v>
      </c>
      <c r="C142" s="4"/>
      <c r="D142" s="4"/>
      <c r="E142" s="5"/>
      <c r="F142" s="4" t="s">
        <v>565</v>
      </c>
      <c r="G142" s="6" t="str">
        <f t="shared" si="1"/>
        <v>Link</v>
      </c>
      <c r="H142" s="3" t="s">
        <v>45</v>
      </c>
      <c r="I142" s="8" t="str">
        <f t="shared" si="2"/>
        <v>{"address_components":[{"long_name":"Burke","short_name":"Burke","types":["locality","political"]},{"types":["administrative_area_level_2","political"],"long_name":"Shoshone County","short_name":"Shoshone County"},{"short_name":"ID","types":["administrative_area_level_1","political"],"long_name":"Idaho"},{"types":["country","political"],"long_name":"United States","short_name":"US"},{"long_name":"83873","types":["postal_code"],"short_name":"83873"},{"types":["street_number"],"long_name":"6329","short_name":"6329"},{"long_name":"Burke Canyon Road","types":["route"],"short_name":"Burke Cyn Rd"},{"types":["locality","political"],"long_name":"Wallace","short_name":"Wallace"},{"short_name":"Shoshone County","types":["administrative_area_level_2","political"],"long_name":"Shoshone County"},{"long_name":"Idaho","short_name":"ID","types":["administrative_area_level_1","political"]},{"short_name":"US","types":["country","political"],"long_name":"United States"},{"short_name":"83873","long_name":"83873","types":["postal_code"]},{"short_name":"9618","long_name":"9618","types":["postal_code_suffix"]},{"types":["latitude"],"long_name":47.520278,"short_name":47.520278},{"types":["longitude"],"long_name":-115.819167,"short_name":-115.819167}]}</v>
      </c>
      <c r="J142" s="8" t="str">
        <f t="shared" si="3"/>
        <v>[{"long_name":"Burke","short_name":"Burke","types":["locality","political"]},{"types":["administrative_area_level_2","political"],"long_name":"Shoshone County","short_name":"Shoshone County"},{"short_name":"ID","types":["administrative_area_level_1","political"],"long_name":"Idaho"},{"types":["country","political"],"long_name":"United States","short_name":"US"},{"long_name":"83873","types":["postal_code"],"short_name":"83873"},{"types":["street_number"],"long_name":"6329","short_name":"6329"},{"long_name":"Burke Canyon Road","types":["route"],"short_name":"Burke Cyn Rd"},{"types":["locality","political"],"long_name":"Wallace","short_name":"Wallace"},{"short_name":"Shoshone County","types":["administrative_area_level_2","political"],"long_name":"Shoshone County"},{"long_name":"Idaho","short_name":"ID","types":["administrative_area_level_1","political"]},{"short_name":"US","types":["country","political"],"long_name":"United States"},{"short_name":"83873","long_name":"83873","types":["postal_code"]},{"short_name":"9618","long_name":"9618","types":["postal_code_suffix"]},{"types":["latitude"],"long_name":47.520278,"short_name":47.520278},{"types":["longitude"],"long_name":-115.819167,"short_name":-115.819167},{"types":["debug_info","cache_load_result"],"long_name":"hit","short_name":"hit"}]</v>
      </c>
      <c r="K142" s="9" t="b">
        <f t="shared" ref="K142:K143" si="201">NOT(AND(NOT(_xlfn.ISFORMULA(P142)),AND(NOT(_xlfn.ISFORMULA(Q142)),AND(NOT(_xlfn.ISFORMULA(R142)),AND(NOT(_xlfn.ISFORMULA(S142)),AND(NOT(_xlfn.ISFORMULA(T142)),AND(NOT(_xlfn.ISFORMULA(U142)),AND(NOT(_xlfn.ISFORMULA(V142)),AND(NOT(_xlfn.ISFORMULA(N142)),NOT(_xlfn.ISFORMULA(O142)))))))))))</f>
        <v>0</v>
      </c>
      <c r="L142" s="8" t="b">
        <f t="shared" si="4"/>
        <v>1</v>
      </c>
      <c r="M142" s="10" t="b">
        <v>1</v>
      </c>
      <c r="N142" s="10">
        <v>47.520278</v>
      </c>
      <c r="O142" s="10">
        <v>-115.819167</v>
      </c>
      <c r="P142" s="10" t="s">
        <v>558</v>
      </c>
      <c r="Q142" s="10" t="s">
        <v>555</v>
      </c>
      <c r="R142" s="10">
        <v>83873.0</v>
      </c>
      <c r="S142" s="10" t="s">
        <v>47</v>
      </c>
      <c r="T142" s="19">
        <v>365.9</v>
      </c>
      <c r="U142" s="32">
        <v>0.24460648148148148</v>
      </c>
      <c r="V142" s="18">
        <v>304.05</v>
      </c>
      <c r="X142" s="4" t="str">
        <f t="shared" si="5"/>
        <v>N/A</v>
      </c>
      <c r="Z142" s="4" t="s">
        <v>38</v>
      </c>
    </row>
    <row r="143" hidden="1">
      <c r="A143" s="3" t="s">
        <v>456</v>
      </c>
      <c r="B143" s="4" t="s">
        <v>566</v>
      </c>
      <c r="C143" s="4" t="s">
        <v>567</v>
      </c>
      <c r="D143" s="4"/>
      <c r="E143" s="5"/>
      <c r="F143" s="4" t="s">
        <v>566</v>
      </c>
      <c r="G143" s="6" t="str">
        <f t="shared" si="1"/>
        <v>Link</v>
      </c>
      <c r="H143" s="3" t="s">
        <v>45</v>
      </c>
      <c r="I143" s="8" t="str">
        <f t="shared" si="2"/>
        <v>{"address_components":[{"long_name":"Prattville","short_name":"Prattville","types":["locality","political"]},{"short_name":"Autauga County","types":["administrative_area_level_2","political"],"long_name":"Autauga County"},{"long_name":"Alabama","short_name":"AL","types":["administrative_area_level_1","political"]},{"long_name":"United States","short_name":"US","types":["country","political"]},{"short_name":"536","long_name":"536","types":["street_number"]},{"long_name":"Wetumpka Street","types":["route"],"short_name":"Wetumpka St"},{"long_name":"Prattville","short_name":"Prattville","types":["locality","political"]},{"long_name":"Autauga County","short_name":"Autauga County","types":["administrative_area_level_2","political"]},{"long_name":"Alabama","short_name":"AL","types":["administrative_area_level_1","political"]},{"long_name":"United States","types":["country","political"],"short_name":"US"},{"short_name":"36067","long_name":"36067","types":["postal_code"]},{"short_name":"3219","types":["postal_code_suffix"],"long_name":"3219"},{"types":["latitude"],"long_name":32.4640245,"short_name":32.4640245},{"types":["longitude"],"long_name":-86.4596966,"short_name":-86.4596966}]}</v>
      </c>
      <c r="J143" s="8" t="str">
        <f t="shared" si="3"/>
        <v>[{"long_name":"Prattville","short_name":"Prattville","types":["locality","political"]},{"short_name":"Autauga County","types":["administrative_area_level_2","political"],"long_name":"Autauga County"},{"long_name":"Alabama","short_name":"AL","types":["administrative_area_level_1","political"]},{"long_name":"United States","short_name":"US","types":["country","political"]},{"short_name":"536","long_name":"536","types":["street_number"]},{"long_name":"Wetumpka Street","types":["route"],"short_name":"Wetumpka St"},{"long_name":"Prattville","short_name":"Prattville","types":["locality","political"]},{"long_name":"Autauga County","short_name":"Autauga County","types":["administrative_area_level_2","political"]},{"long_name":"Alabama","short_name":"AL","types":["administrative_area_level_1","political"]},{"long_name":"United States","types":["country","political"],"short_name":"US"},{"short_name":"36067","long_name":"36067","types":["postal_code"]},{"short_name":"3219","types":["postal_code_suffix"],"long_name":"3219"},{"types":["latitude"],"long_name":32.4640245,"short_name":32.4640245},{"types":["longitude"],"long_name":-86.4596966,"short_name":-86.4596966},{"types":["debug_info","cache_load_result"],"long_name":"hit","short_name":"hit"}]</v>
      </c>
      <c r="K143" s="9" t="b">
        <f t="shared" si="201"/>
        <v>0</v>
      </c>
      <c r="L143" s="8" t="b">
        <f t="shared" si="4"/>
        <v>1</v>
      </c>
      <c r="M143" s="10" t="b">
        <v>1</v>
      </c>
      <c r="N143" s="10">
        <v>32.4640245</v>
      </c>
      <c r="O143" s="10">
        <v>-86.4596966</v>
      </c>
      <c r="P143" s="10" t="s">
        <v>568</v>
      </c>
      <c r="Q143" s="10" t="s">
        <v>569</v>
      </c>
      <c r="R143" s="10">
        <v>36067.0</v>
      </c>
      <c r="S143" s="10" t="s">
        <v>47</v>
      </c>
      <c r="T143" s="19">
        <v>2632.0</v>
      </c>
      <c r="U143" s="32">
        <v>1.6272453703703704</v>
      </c>
      <c r="V143" s="18">
        <v>2140.84</v>
      </c>
      <c r="W143" s="4"/>
      <c r="X143" s="4" t="str">
        <f t="shared" si="5"/>
        <v>N/A</v>
      </c>
      <c r="Y143" s="4"/>
      <c r="Z143" s="4" t="s">
        <v>38</v>
      </c>
      <c r="AB143" s="14" t="s">
        <v>570</v>
      </c>
      <c r="AF143" s="4" t="s">
        <v>571</v>
      </c>
    </row>
    <row r="144">
      <c r="A144" s="34" t="s">
        <v>456</v>
      </c>
      <c r="B144" s="4" t="s">
        <v>572</v>
      </c>
      <c r="C144" s="4" t="s">
        <v>573</v>
      </c>
      <c r="D144" s="4"/>
      <c r="E144" s="5"/>
      <c r="F144" s="4" t="s">
        <v>574</v>
      </c>
      <c r="G144" s="6" t="str">
        <f t="shared" si="1"/>
        <v>Link</v>
      </c>
      <c r="H144" s="3" t="s">
        <v>120</v>
      </c>
      <c r="I144" s="8" t="str">
        <f t="shared" si="2"/>
        <v>{"distance_from":{"mi":{"flying":{"2116 4th Ave, Seattle, WA, 98121":4774.103048454646},"driving":{"2116 4th Ave, Seattle, WA, 98121":"GOOGLE_MAPS_ERROR_CACHED - No route found!"}}},"address_components":[{"long_name":"49980","types":["postal_code"],"short_name":"49980"},{"long_name":"Virolahti","short_name":"Virolahti","types":["administrative_area_level_3","political"]},{"long_name":"Kotka-Hamina","types":["administrative_area_level_2","political"],"short_name":"Kotka-Hamina"},{"long_name":"Kymenlaakso","types":["administrative_area_level_1","political"],"short_name":"Kymenlaakso"},{"types":["country","political"],"short_name":"FI","long_name":"Finland"},{"types":["plus_code"],"long_name":"HF5P+XJ","short_name":"HF5P+XJ"},{"long_name":"Virolahti","types":["administrative_area_level_3","political"],"short_name":"Virolahti"},{"long_name":"Kotka-Hamina","short_name":"Kotka-Hamina","types":["administrative_area_level_2","political"]},{"long_name":"Kymenlaakso","short_name":"Kymenlaakso","types":["administrative_area_level_1","political"]},{"long_name":"Finland","short_name":"FI","types":["country","political"]},{"types":["latitude"],"long_name":60.55994649999999,"short_name":60.55994649999999},{"types":["longitude"],"long_name":27.4865214,"short_name":27.4865214}],"duration_from":{"days":{"driving":{"2116 4th Ave, Seattle, WA, 98121":"GOOGLE_MAPS_ERROR_CACHED - No route found!"}}}}</v>
      </c>
      <c r="J144" s="8" t="str">
        <f t="shared" si="3"/>
        <v>[{"long_name":"49980","types":["postal_code"],"short_name":"49980"},{"long_name":"Virolahti","short_name":"Virolahti","types":["administrative_area_level_3","political"]},{"long_name":"Kotka-Hamina","types":["administrative_area_level_2","political"],"short_name":"Kotka-Hamina"},{"long_name":"Kymenlaakso","types":["administrative_area_level_1","political"],"short_name":"Kymenlaakso"},{"types":["country","political"],"short_name":"FI","long_name":"Finland"},{"types":["plus_code"],"long_name":"HF5P+XJ","short_name":"HF5P+XJ"},{"long_name":"Virolahti","types":["administrative_area_level_3","political"],"short_name":"Virolahti"},{"long_name":"Kotka-Hamina","short_name":"Kotka-Hamina","types":["administrative_area_level_2","political"]},{"long_name":"Kymenlaakso","short_name":"Kymenlaakso","types":["administrative_area_level_1","political"]},{"long_name":"Finland","short_name":"FI","types":["country","political"]},{"types":["latitude"],"long_name":60.55994649999999,"short_name":60.55994649999999},{"types":["longitude"],"long_name":27.4865214,"short_name":27.4865214},{"types":["debug_info","cache_load_result"],"long_name":"hit","short_name":"hit"}]</v>
      </c>
      <c r="K144" s="9" t="b">
        <f t="shared" ref="K144:K145" si="202">NOT(AND(NOT(_xlfn.ISFORMULA(P144)),AND(NOT(_xlfn.ISFORMULA(Q144)),AND(NOT(_xlfn.ISFORMULA(R144)),AND(NOT(_xlfn.ISFORMULA(S144)),AND(NOT(_xlfn.ISFORMULA(T144)),AND(NOT(_xlfn.ISFORMULA(U144)),AND(NOT(_xlfn.ISFORMULA(V144))))))))))</f>
        <v>1</v>
      </c>
      <c r="L144" s="8" t="b">
        <f t="shared" si="4"/>
        <v>0</v>
      </c>
      <c r="M144" s="10" t="b">
        <v>1</v>
      </c>
      <c r="N144" s="8">
        <f t="shared" ref="N144:N145" si="203">GOOGLEMAPS_GET_ADDRESS_LATITUDE(F144,true)</f>
        <v>60.5599465</v>
      </c>
      <c r="O144" s="8">
        <f t="shared" ref="O144:O145" si="204">GOOGLEMAPS_GET_ADDRESS_LONGITUDE(F144,true)</f>
        <v>27.4865214</v>
      </c>
      <c r="P144" s="8" t="str">
        <f t="shared" ref="P144:P145" si="205">GOOGLEMAPS_GET_ADDRESS_CITY(F144,true,false)</f>
        <v>UNDEFINED</v>
      </c>
      <c r="Q144" s="8" t="str">
        <f t="shared" ref="Q144:Q145" si="206">GOOGLEMAPS_GET_ADDRESS_STATE(F144,true,false)</f>
        <v>Kymenlaakso</v>
      </c>
      <c r="R144" s="8" t="str">
        <f t="shared" ref="R144:R145" si="207">GOOGLEMAPS_GET_ADDRESS_POSTAL_CODE(F144,false,false)</f>
        <v>49980</v>
      </c>
      <c r="S144" s="8" t="str">
        <f>GOOGLEMAPS_GET_ADDRESS_COUNTRY(F144,true,false)</f>
        <v>Finland</v>
      </c>
      <c r="T144" s="11" t="str">
        <f t="shared" ref="T144:T145" si="208">IFERROR(GOOGLEMAPS_DISTANCE("2116 4th Ave, Seattle, WA, 98121", F144, "driving")+0,"Not Driveable")</f>
        <v>Not Driveable</v>
      </c>
      <c r="U144" s="12" t="str">
        <f t="shared" ref="U144:U145" si="209">iferror(GOOGLEMAPS_DURATION("2116 4th Ave, Seattle, WA, 98121", F144, "driving")+0,"Not Driveable")</f>
        <v>Not Driveable</v>
      </c>
      <c r="V144" s="13">
        <f>GOOGLEMAPS_DISTANCE("2116 4th Ave, Seattle, WA, 98121", F144, "flying")+0</f>
        <v>4774.103048</v>
      </c>
      <c r="X144" s="4" t="str">
        <f t="shared" si="5"/>
        <v>N/A</v>
      </c>
      <c r="Y144" s="4"/>
      <c r="Z144" s="4" t="s">
        <v>38</v>
      </c>
    </row>
    <row r="145">
      <c r="A145" s="3" t="s">
        <v>456</v>
      </c>
      <c r="B145" s="4" t="s">
        <v>575</v>
      </c>
      <c r="C145" s="4" t="s">
        <v>576</v>
      </c>
      <c r="D145" s="4" t="s">
        <v>577</v>
      </c>
      <c r="E145" s="5"/>
      <c r="F145" s="4" t="s">
        <v>578</v>
      </c>
      <c r="G145" s="6" t="str">
        <f t="shared" si="1"/>
        <v>Link</v>
      </c>
      <c r="H145" s="5"/>
      <c r="I145" s="7" t="str">
        <f t="shared" si="2"/>
        <v>{"address_components":[{"long_name":"9F33VFWJ+36","short_name":"9F33VFWJ+36","types":["plus_code"]},{"long_name":"United Kingdom","short_name":"GB","types":["country","political"]},{"short_name":"9F33VFWJ+36","types":["plus_code"],"long_name":"9F33VFWJ+36"},{"long_name":"United Kingdom","short_name":"GB","types":["country","political"]},{"types":["latitude"],"long_name":51.8951875,"short_name":51.8951875},{"types":["longitude"],"long_name":1.4805625,"short_name":1.4805625}],"distance_from":{"mi":{"driving":{"2116 4th Ave, Seattle, WA, 98121":"GOOGLE_MAPS_ERROR_CACHED - No route found!"}}},"duration_from":{"days":{"driving":{"2116 4th Ave, Seattle, WA, 98121":"GOOGLE_MAPS_ERROR_CACHED - No route found!"}}}}</v>
      </c>
      <c r="J145" s="8" t="str">
        <f t="shared" si="3"/>
        <v>[{"long_name":"9F33VFWJ+36","short_name":"9F33VFWJ+36","types":["plus_code"]},{"long_name":"United Kingdom","short_name":"GB","types":["country","political"]},{"short_name":"9F33VFWJ+36","types":["plus_code"],"long_name":"9F33VFWJ+36"},{"long_name":"United Kingdom","short_name":"GB","types":["country","political"]},{"types":["latitude"],"long_name":51.8951875,"short_name":51.8951875},{"types":["longitude"],"long_name":1.4805625,"short_name":1.4805625},{"types":["debug_info","cache_load_result"],"long_name":"hit","short_name":"hit"}]</v>
      </c>
      <c r="K145" s="9" t="b">
        <f t="shared" si="202"/>
        <v>1</v>
      </c>
      <c r="L145" s="8" t="b">
        <f t="shared" si="4"/>
        <v>0</v>
      </c>
      <c r="M145" s="10" t="b">
        <v>1</v>
      </c>
      <c r="N145" s="8">
        <f t="shared" si="203"/>
        <v>51.8951875</v>
      </c>
      <c r="O145" s="8">
        <f t="shared" si="204"/>
        <v>1.4805625</v>
      </c>
      <c r="P145" s="8" t="str">
        <f t="shared" si="205"/>
        <v>UNDEFINED</v>
      </c>
      <c r="Q145" s="8" t="str">
        <f t="shared" si="206"/>
        <v>UNDEFINED</v>
      </c>
      <c r="R145" s="8" t="str">
        <f t="shared" si="207"/>
        <v>UNDEFINED</v>
      </c>
      <c r="S145" s="10" t="s">
        <v>64</v>
      </c>
      <c r="T145" s="11" t="str">
        <f t="shared" si="208"/>
        <v>Not Driveable</v>
      </c>
      <c r="U145" s="12" t="str">
        <f t="shared" si="209"/>
        <v>Not Driveable</v>
      </c>
      <c r="V145" s="18">
        <v>4804.35</v>
      </c>
      <c r="X145" s="4" t="str">
        <f t="shared" si="5"/>
        <v>N/A</v>
      </c>
      <c r="Y145" s="4"/>
      <c r="Z145" s="4" t="s">
        <v>38</v>
      </c>
      <c r="AB145" s="14" t="s">
        <v>69</v>
      </c>
    </row>
    <row r="146">
      <c r="A146" s="3" t="s">
        <v>456</v>
      </c>
      <c r="B146" s="4" t="s">
        <v>579</v>
      </c>
      <c r="C146" s="4" t="s">
        <v>580</v>
      </c>
      <c r="D146" s="4"/>
      <c r="E146" s="5"/>
      <c r="F146" s="4" t="s">
        <v>579</v>
      </c>
      <c r="G146" s="6" t="str">
        <f t="shared" si="1"/>
        <v>Link</v>
      </c>
      <c r="H146" s="3" t="s">
        <v>45</v>
      </c>
      <c r="I146" s="8" t="str">
        <f t="shared" si="2"/>
        <v>{"address_components":[{"types":["locality","political"],"long_name":"Skrunda-1","short_name":"Skrunda-1"},{"long_name":"Raņķi parish","short_name":"Raņķi parish","types":["administrative_area_level_2","political"]},{"short_name":"Kuldīga Municipality","long_name":"Kuldīga Municipality","types":["administrative_area_level_1","political"]},{"long_name":"Latvia","types":["country","political"],"short_name":"LV"},{"long_name":"3326","types":["postal_code"],"short_name":"3326"},{"long_name":"Mežaine","short_name":"Mežaine","types":["premise"]},{"short_name":"Līdumnieki","types":["locality","political"],"long_name":"Līdumnieki"},{"types":["administrative_area_level_2","political"],"long_name":"Raņķu pagasts","short_name":"Raņķu pagasts"},{"short_name":"Kuldīgas novads","types":["administrative_area_level_1","political"],"long_name":"Kuldīgas novads"},{"types":["country","political"],"long_name":"Latvia","short_name":"LV"},{"long_name":"3326","short_name":"3326","types":["postal_code"]},{"types":["latitude"],"long_name":56.727056,"short_name":56.727056},{"types":["longitude"],"long_name":21.9931339,"short_name":21.9931339}]}</v>
      </c>
      <c r="J146" s="8" t="str">
        <f t="shared" si="3"/>
        <v>[{"types":["locality","political"],"long_name":"Skrunda-1","short_name":"Skrunda-1"},{"long_name":"Raņķi parish","short_name":"Raņķi parish","types":["administrative_area_level_2","political"]},{"short_name":"Kuldīga Municipality","long_name":"Kuldīga Municipality","types":["administrative_area_level_1","political"]},{"long_name":"Latvia","types":["country","political"],"short_name":"LV"},{"long_name":"3326","types":["postal_code"],"short_name":"3326"},{"long_name":"Mežaine","short_name":"Mežaine","types":["premise"]},{"short_name":"Līdumnieki","types":["locality","political"],"long_name":"Līdumnieki"},{"types":["administrative_area_level_2","political"],"long_name":"Raņķu pagasts","short_name":"Raņķu pagasts"},{"short_name":"Kuldīgas novads","types":["administrative_area_level_1","political"],"long_name":"Kuldīgas novads"},{"types":["country","political"],"long_name":"Latvia","short_name":"LV"},{"long_name":"3326","short_name":"3326","types":["postal_code"]},{"types":["latitude"],"long_name":56.727056,"short_name":56.727056},{"types":["longitude"],"long_name":21.9931339,"short_name":21.9931339},{"types":["debug_info","cache_load_result"],"long_name":"hit","short_name":"hit"}]</v>
      </c>
      <c r="K146" s="9" t="b">
        <f>NOT(AND(NOT(_xlfn.ISFORMULA(P146)),AND(NOT(_xlfn.ISFORMULA(Q146)),AND(NOT(_xlfn.ISFORMULA(R146)),AND(NOT(_xlfn.ISFORMULA(S146)),AND(NOT(_xlfn.ISFORMULA(T146)),AND(NOT(_xlfn.ISFORMULA(U146)),AND(NOT(_xlfn.ISFORMULA(V146)),AND(NOT(_xlfn.ISFORMULA(N146)),NOT(_xlfn.ISFORMULA(O146)))))))))))</f>
        <v>0</v>
      </c>
      <c r="L146" s="8" t="b">
        <f t="shared" si="4"/>
        <v>1</v>
      </c>
      <c r="M146" s="10" t="b">
        <v>1</v>
      </c>
      <c r="N146" s="10">
        <v>56.727056</v>
      </c>
      <c r="O146" s="10">
        <v>21.9931339</v>
      </c>
      <c r="P146" s="10" t="s">
        <v>581</v>
      </c>
      <c r="Q146" s="10" t="s">
        <v>55</v>
      </c>
      <c r="R146" s="10">
        <v>3326.0</v>
      </c>
      <c r="S146" s="10" t="s">
        <v>582</v>
      </c>
      <c r="T146" s="19" t="s">
        <v>56</v>
      </c>
      <c r="U146" s="20" t="s">
        <v>56</v>
      </c>
      <c r="V146" s="18">
        <v>4941.18</v>
      </c>
      <c r="X146" s="4" t="str">
        <f t="shared" si="5"/>
        <v>N/A</v>
      </c>
      <c r="Y146" s="4"/>
      <c r="Z146" s="4" t="s">
        <v>38</v>
      </c>
      <c r="AF146" s="4" t="s">
        <v>583</v>
      </c>
    </row>
    <row r="147">
      <c r="A147" s="3" t="s">
        <v>456</v>
      </c>
      <c r="B147" s="4" t="s">
        <v>584</v>
      </c>
      <c r="C147" s="4"/>
      <c r="D147" s="4"/>
      <c r="E147" s="5"/>
      <c r="F147" s="4" t="s">
        <v>584</v>
      </c>
      <c r="G147" s="6" t="str">
        <f t="shared" si="1"/>
        <v>Link</v>
      </c>
      <c r="H147" s="3" t="s">
        <v>45</v>
      </c>
      <c r="I147" s="8" t="str">
        <f t="shared" si="2"/>
        <v>{"address_components":[{"types":["neighborhood","political"],"short_name":"Sanguinho","long_name":"Sanguinho"},{"long_name":"Vilar","short_name":"Vilar","types":["political","sublocality","sublocality_level_1"]},{"long_name":"Penacova","types":["locality","political"],"short_name":"Penacova"},{"short_name":"Penacova","long_name":"Penacova","types":["administrative_area_level_3","political"]},{"long_name":"Penacova","short_name":"Penacova","types":["administrative_area_level_2","political"]},{"short_name":"Coimbra","types":["administrative_area_level_1","political"],"long_name":"Coimbra"},{"long_name":"Portugal","types":["country","political"],"short_name":"PT"},{"long_name":"3360","short_name":"3360","types":["postal_code","postal_code_prefix"]},{"long_name":"7P5Q+R9","short_name":"7P5Q+R9","types":["plus_code"]},{"short_name":"Penacova","types":["locality","political"],"long_name":"Penacova"},{"long_name":"Penacova","short_name":"Penacova","types":["administrative_area_level_3","political"]},{"types":["administrative_area_level_2","political"],"short_name":"Penacova","long_name":"Penacova"},{"long_name":"Coimbra District","types":["administrative_area_level_1","political"],"short_name":"Coimbra District"},{"types":["country","political"],"long_name":"Portugal","short_name":"PT"},{"long_name":"3360","types":["postal_code","postal_code_prefix"],"short_name":"3360"},{"types":["latitude"],"long_name":40.2595243,"short_name":40.2595243},{"types":["longitude"],"long_name":-8.2615944,"short_name":-8.2615944}],"distance_from":{"mi":{"driving":{"2116 4th Ave, Seattle, WA, 98121":"GOOGLE_MAPS_ERROR_CACHED - No route found!"},"flying":{"2116 4th Ave, Seattle, WA, 98121":5146.635266631041}}},"duration_from":{"days":{"driving":{"2116 4th Ave, Seattle, WA, 98121":"GOOGLE_MAPS_ERROR_CACHED - No route found!"}}}}</v>
      </c>
      <c r="J147" s="8" t="str">
        <f t="shared" si="3"/>
        <v>[{"types":["neighborhood","political"],"short_name":"Sanguinho","long_name":"Sanguinho"},{"long_name":"Vilar","short_name":"Vilar","types":["political","sublocality","sublocality_level_1"]},{"long_name":"Penacova","types":["locality","political"],"short_name":"Penacova"},{"short_name":"Penacova","long_name":"Penacova","types":["administrative_area_level_3","political"]},{"long_name":"Penacova","short_name":"Penacova","types":["administrative_area_level_2","political"]},{"short_name":"Coimbra","types":["administrative_area_level_1","political"],"long_name":"Coimbra"},{"long_name":"Portugal","types":["country","political"],"short_name":"PT"},{"long_name":"3360","short_name":"3360","types":["postal_code","postal_code_prefix"]},{"long_name":"7P5Q+R9","short_name":"7P5Q+R9","types":["plus_code"]},{"short_name":"Penacova","types":["locality","political"],"long_name":"Penacova"},{"long_name":"Penacova","short_name":"Penacova","types":["administrative_area_level_3","political"]},{"types":["administrative_area_level_2","political"],"short_name":"Penacova","long_name":"Penacova"},{"long_name":"Coimbra District","types":["administrative_area_level_1","political"],"short_name":"Coimbra District"},{"types":["country","political"],"long_name":"Portugal","short_name":"PT"},{"long_name":"3360","types":["postal_code","postal_code_prefix"],"short_name":"3360"},{"types":["latitude"],"long_name":40.2595243,"short_name":40.2595243},{"types":["longitude"],"long_name":-8.2615944,"short_name":-8.2615944},{"types":["debug_info","cache_load_result"],"long_name":"hit","short_name":"hit"}]</v>
      </c>
      <c r="K147" s="9" t="b">
        <f>NOT(AND(NOT(_xlfn.ISFORMULA(P147)),AND(NOT(_xlfn.ISFORMULA(Q147)),AND(NOT(_xlfn.ISFORMULA(R147)),AND(NOT(_xlfn.ISFORMULA(S147)),AND(NOT(_xlfn.ISFORMULA(T147)),AND(NOT(_xlfn.ISFORMULA(U147)),AND(NOT(_xlfn.ISFORMULA(V147))))))))))</f>
        <v>1</v>
      </c>
      <c r="L147" s="8" t="b">
        <f t="shared" si="4"/>
        <v>0</v>
      </c>
      <c r="M147" s="10" t="b">
        <v>1</v>
      </c>
      <c r="N147" s="8">
        <f>GOOGLEMAPS_GET_ADDRESS_LATITUDE(F147,true)</f>
        <v>40.2595243</v>
      </c>
      <c r="O147" s="8">
        <f>GOOGLEMAPS_GET_ADDRESS_LONGITUDE(F147,true)</f>
        <v>-8.2615944</v>
      </c>
      <c r="P147" s="8" t="str">
        <f>GOOGLEMAPS_GET_ADDRESS_CITY(F147,true,false)</f>
        <v>Penacova</v>
      </c>
      <c r="Q147" s="8" t="str">
        <f>GOOGLEMAPS_GET_ADDRESS_STATE(F147,true,false)</f>
        <v>Coimbra</v>
      </c>
      <c r="R147" s="8" t="str">
        <f>GOOGLEMAPS_GET_ADDRESS_POSTAL_CODE(F147,false,false)</f>
        <v>3360</v>
      </c>
      <c r="S147" s="8" t="str">
        <f>GOOGLEMAPS_GET_ADDRESS_COUNTRY(F147,true,false)</f>
        <v>Portugal</v>
      </c>
      <c r="T147" s="11" t="str">
        <f>IFERROR(GOOGLEMAPS_DISTANCE("2116 4th Ave, Seattle, WA, 98121", F147, "driving")+0,"Not Driveable")</f>
        <v>Not Driveable</v>
      </c>
      <c r="U147" s="12" t="str">
        <f>iferror(GOOGLEMAPS_DURATION("2116 4th Ave, Seattle, WA, 98121", F147, "driving")+0,"Not Driveable")</f>
        <v>Not Driveable</v>
      </c>
      <c r="V147" s="13">
        <f>GOOGLEMAPS_DISTANCE("2116 4th Ave, Seattle, WA, 98121", F147, "flying")+0</f>
        <v>5146.635267</v>
      </c>
      <c r="X147" s="4" t="str">
        <f t="shared" si="5"/>
        <v>N/A</v>
      </c>
      <c r="Y147" s="4"/>
      <c r="Z147" s="4" t="s">
        <v>38</v>
      </c>
      <c r="AF147" s="4" t="s">
        <v>585</v>
      </c>
    </row>
    <row r="148" hidden="1">
      <c r="A148" s="3" t="s">
        <v>456</v>
      </c>
      <c r="B148" s="4" t="s">
        <v>586</v>
      </c>
      <c r="C148" s="4" t="s">
        <v>587</v>
      </c>
      <c r="D148" s="4"/>
      <c r="E148" s="5"/>
      <c r="F148" s="4" t="s">
        <v>588</v>
      </c>
      <c r="G148" s="6" t="str">
        <f t="shared" si="1"/>
        <v>Link</v>
      </c>
      <c r="H148" s="3" t="s">
        <v>45</v>
      </c>
      <c r="I148" s="8" t="str">
        <f t="shared" si="2"/>
        <v>{"address_components":[{"long_name":"Molson","short_name":"Molson","types":["locality","political"]},{"long_name":"Kootenay Boundary E","short_name":"Kootenay Boundary E","types":["administrative_area_level_3","political"]},{"short_name":"Okanogan County","types":["administrative_area_level_2","political"],"long_name":"Okanogan County"},{"long_name":"Washington","short_name":"WA","types":["administrative_area_level_1","political"]},{"short_name":"US","types":["country","political"],"long_name":"United States"},{"long_name":"98844","short_name":"98844","types":["postal_code"]},{"long_name":"5","short_name":"5","types":["street_number"]},{"long_name":"Front Avenue South","short_name":"Front Ave S","types":["route"]},{"short_name":"Oroville","types":["locality","political"],"long_name":"Oroville"},{"short_name":"Okanogan County","types":["administrative_area_level_2","political"],"long_name":"Okanogan County"},{"long_name":"Washington","short_name":"WA","types":["administrative_area_level_1","political"]},{"long_name":"United States","short_name":"US","types":["country","political"]},{"types":["postal_code"],"long_name":"98844","short_name":"98844"},{"long_name":"9826","short_name":"9826","types":["postal_code_suffix"]},{"types":["latitude"],"long_name":48.981111,"short_name":48.981111},{"types":["longitude"],"long_name":-119.199444,"short_name":-119.199444}]}</v>
      </c>
      <c r="J148" s="8" t="str">
        <f t="shared" si="3"/>
        <v>[{"long_name":"Molson","short_name":"Molson","types":["locality","political"]},{"long_name":"Kootenay Boundary E","short_name":"Kootenay Boundary E","types":["administrative_area_level_3","political"]},{"short_name":"Okanogan County","types":["administrative_area_level_2","political"],"long_name":"Okanogan County"},{"long_name":"Washington","short_name":"WA","types":["administrative_area_level_1","political"]},{"short_name":"US","types":["country","political"],"long_name":"United States"},{"long_name":"98844","short_name":"98844","types":["postal_code"]},{"long_name":"5","short_name":"5","types":["street_number"]},{"long_name":"Front Avenue South","short_name":"Front Ave S","types":["route"]},{"short_name":"Oroville","types":["locality","political"],"long_name":"Oroville"},{"short_name":"Okanogan County","types":["administrative_area_level_2","political"],"long_name":"Okanogan County"},{"long_name":"Washington","short_name":"WA","types":["administrative_area_level_1","political"]},{"long_name":"United States","short_name":"US","types":["country","political"]},{"types":["postal_code"],"long_name":"98844","short_name":"98844"},{"long_name":"9826","short_name":"9826","types":["postal_code_suffix"]},{"types":["latitude"],"long_name":48.981111,"short_name":48.981111},{"types":["longitude"],"long_name":-119.199444,"short_name":-119.199444},{"types":["debug_info","cache_load_result"],"long_name":"hit","short_name":"hit"}]</v>
      </c>
      <c r="K148" s="9" t="b">
        <f t="shared" ref="K148:K150" si="210">NOT(AND(NOT(_xlfn.ISFORMULA(P148)),AND(NOT(_xlfn.ISFORMULA(Q148)),AND(NOT(_xlfn.ISFORMULA(R148)),AND(NOT(_xlfn.ISFORMULA(S148)),AND(NOT(_xlfn.ISFORMULA(T148)),AND(NOT(_xlfn.ISFORMULA(U148)),AND(NOT(_xlfn.ISFORMULA(V148)),AND(NOT(_xlfn.ISFORMULA(N148)),NOT(_xlfn.ISFORMULA(O148)))))))))))</f>
        <v>0</v>
      </c>
      <c r="L148" s="8" t="b">
        <f t="shared" si="4"/>
        <v>1</v>
      </c>
      <c r="M148" s="10" t="b">
        <v>1</v>
      </c>
      <c r="N148" s="10">
        <v>48.981111</v>
      </c>
      <c r="O148" s="10">
        <v>-119.199444</v>
      </c>
      <c r="P148" s="10" t="s">
        <v>589</v>
      </c>
      <c r="Q148" s="10" t="s">
        <v>193</v>
      </c>
      <c r="R148" s="10">
        <v>98844.0</v>
      </c>
      <c r="S148" s="10" t="s">
        <v>47</v>
      </c>
      <c r="T148" s="19">
        <v>289.3</v>
      </c>
      <c r="U148" s="32">
        <v>0.2144097222222222</v>
      </c>
      <c r="V148" s="18">
        <v>172.55</v>
      </c>
      <c r="W148" s="4"/>
      <c r="X148" s="4" t="str">
        <f t="shared" si="5"/>
        <v>N/A</v>
      </c>
      <c r="Y148" s="4"/>
      <c r="Z148" s="4" t="s">
        <v>38</v>
      </c>
    </row>
    <row r="149" hidden="1">
      <c r="A149" s="34" t="s">
        <v>456</v>
      </c>
      <c r="B149" s="4" t="s">
        <v>590</v>
      </c>
      <c r="C149" s="4"/>
      <c r="D149" s="4"/>
      <c r="E149" s="5"/>
      <c r="F149" s="4" t="s">
        <v>591</v>
      </c>
      <c r="G149" s="6" t="str">
        <f t="shared" si="1"/>
        <v>Link</v>
      </c>
      <c r="H149" s="3" t="s">
        <v>45</v>
      </c>
      <c r="I149" s="8" t="str">
        <f t="shared" si="2"/>
        <v>{"address_components":[{"short_name":"Castle Town","long_name":"Castle Town","types":["locality","political"]},{"long_name":"Meagher County","types":["administrative_area_level_2","political"],"short_name":"Meagher County"},{"short_name":"MT","long_name":"Montana","types":["administrative_area_level_1","political"]},{"short_name":"US","long_name":"United States","types":["country","political"]},{"long_name":"59053","types":["postal_code"],"short_name":"59053"},{"short_name":"C8RH+G7","long_name":"C8RH+G7","types":["plus_code"]},{"short_name":"Castle Town","long_name":"Castle Town","types":["locality","political"]},{"short_name":"Meagher County","long_name":"Meagher County","types":["administrative_area_level_2","political"]},{"short_name":"MT","long_name":"Montana","types":["administrative_area_level_1","political"]},{"long_name":"United States","types":["country","political"],"short_name":"US"},{"long_name":"59053","types":["postal_code"],"short_name":"59053"},{"types":["latitude"],"long_name":46.4413323,"short_name":46.4413323},{"types":["longitude"],"long_name":-110.6718674,"short_name":-110.6718674}]}</v>
      </c>
      <c r="J149" s="8" t="str">
        <f t="shared" si="3"/>
        <v>[{"short_name":"Castle Town","long_name":"Castle Town","types":["locality","political"]},{"long_name":"Meagher County","types":["administrative_area_level_2","political"],"short_name":"Meagher County"},{"short_name":"MT","long_name":"Montana","types":["administrative_area_level_1","political"]},{"short_name":"US","long_name":"United States","types":["country","political"]},{"long_name":"59053","types":["postal_code"],"short_name":"59053"},{"short_name":"C8RH+G7","long_name":"C8RH+G7","types":["plus_code"]},{"short_name":"Castle Town","long_name":"Castle Town","types":["locality","political"]},{"short_name":"Meagher County","long_name":"Meagher County","types":["administrative_area_level_2","political"]},{"short_name":"MT","long_name":"Montana","types":["administrative_area_level_1","political"]},{"long_name":"United States","types":["country","political"],"short_name":"US"},{"long_name":"59053","types":["postal_code"],"short_name":"59053"},{"types":["latitude"],"long_name":46.4413323,"short_name":46.4413323},{"types":["longitude"],"long_name":-110.6718674,"short_name":-110.6718674},{"types":["debug_info","cache_load_result"],"long_name":"hit","short_name":"hit"}]</v>
      </c>
      <c r="K149" s="9" t="b">
        <f t="shared" si="210"/>
        <v>0</v>
      </c>
      <c r="L149" s="8" t="b">
        <f t="shared" si="4"/>
        <v>1</v>
      </c>
      <c r="M149" s="10" t="b">
        <v>1</v>
      </c>
      <c r="N149" s="10">
        <v>46.4413323</v>
      </c>
      <c r="O149" s="10">
        <v>-110.6718674</v>
      </c>
      <c r="P149" s="10" t="s">
        <v>592</v>
      </c>
      <c r="Q149" s="10" t="s">
        <v>593</v>
      </c>
      <c r="R149" s="10">
        <v>59053.0</v>
      </c>
      <c r="S149" s="10" t="s">
        <v>47</v>
      </c>
      <c r="T149" s="19">
        <v>686.7</v>
      </c>
      <c r="U149" s="32">
        <v>0.46521990740740743</v>
      </c>
      <c r="V149" s="18">
        <v>555.01</v>
      </c>
      <c r="X149" s="4" t="str">
        <f t="shared" si="5"/>
        <v>N/A</v>
      </c>
      <c r="Z149" s="4" t="s">
        <v>38</v>
      </c>
    </row>
    <row r="150">
      <c r="A150" s="3" t="s">
        <v>456</v>
      </c>
      <c r="B150" s="4" t="s">
        <v>594</v>
      </c>
      <c r="C150" s="4"/>
      <c r="D150" s="4"/>
      <c r="E150" s="5"/>
      <c r="F150" s="4" t="s">
        <v>594</v>
      </c>
      <c r="G150" s="6" t="str">
        <f t="shared" si="1"/>
        <v>Link</v>
      </c>
      <c r="H150" s="3" t="s">
        <v>45</v>
      </c>
      <c r="I150" s="8" t="str">
        <f t="shared" si="2"/>
        <v>{"address_components":[{"long_name":"Turruncún","types":["locality","political"],"short_name":"Turruncún"},{"types":["administrative_area_level_2","political"],"long_name":"La Rioja","short_name":"LO"},{"short_name":"RI","types":["administrative_area_level_1","political"],"long_name":"La Rioja"},{"short_name":"ES","long_name":"Spain","types":["country","political"]},{"long_name":"26589","types":["postal_code"],"short_name":"26589"},{"short_name":"5V3Q+PV","types":["plus_code"],"long_name":"5V3Q+PV"},{"types":["locality","political"],"long_name":"Turruncún","short_name":"Turruncún"},{"long_name":"La Rioja","short_name":"LO","types":["administrative_area_level_2","political"]},{"short_name":"RI","types":["administrative_area_level_1","political"],"long_name":"La Rioja"},{"long_name":"Spain","short_name":"ES","types":["country","political"]},{"long_name":"26589","types":["postal_code"],"short_name":"26589"},{"types":["latitude"],"long_name":42.1542881,"short_name":42.1542881},{"types":["longitude"],"long_name":-2.1103551,"short_name":-2.1103551}]}</v>
      </c>
      <c r="J150" s="8" t="str">
        <f t="shared" si="3"/>
        <v>[{"long_name":"Turruncún","types":["locality","political"],"short_name":"Turruncún"},{"types":["administrative_area_level_2","political"],"long_name":"La Rioja","short_name":"LO"},{"short_name":"RI","types":["administrative_area_level_1","political"],"long_name":"La Rioja"},{"short_name":"ES","long_name":"Spain","types":["country","political"]},{"long_name":"26589","types":["postal_code"],"short_name":"26589"},{"short_name":"5V3Q+PV","types":["plus_code"],"long_name":"5V3Q+PV"},{"types":["locality","political"],"long_name":"Turruncún","short_name":"Turruncún"},{"long_name":"La Rioja","short_name":"LO","types":["administrative_area_level_2","political"]},{"short_name":"RI","types":["administrative_area_level_1","political"],"long_name":"La Rioja"},{"long_name":"Spain","short_name":"ES","types":["country","political"]},{"long_name":"26589","types":["postal_code"],"short_name":"26589"},{"types":["latitude"],"long_name":42.1542881,"short_name":42.1542881},{"types":["longitude"],"long_name":-2.1103551,"short_name":-2.1103551},{"types":["debug_info","cache_load_result"],"long_name":"hit","short_name":"hit"}]</v>
      </c>
      <c r="K150" s="9" t="b">
        <f t="shared" si="210"/>
        <v>0</v>
      </c>
      <c r="L150" s="8" t="b">
        <f t="shared" si="4"/>
        <v>1</v>
      </c>
      <c r="M150" s="15" t="b">
        <v>1</v>
      </c>
      <c r="N150" s="10">
        <v>42.1542881</v>
      </c>
      <c r="O150" s="10">
        <v>-2.1103551</v>
      </c>
      <c r="P150" s="10" t="s">
        <v>595</v>
      </c>
      <c r="Q150" s="10" t="s">
        <v>596</v>
      </c>
      <c r="R150" s="10">
        <v>26589.0</v>
      </c>
      <c r="S150" s="10" t="s">
        <v>597</v>
      </c>
      <c r="T150" s="19" t="s">
        <v>56</v>
      </c>
      <c r="U150" s="20" t="s">
        <v>56</v>
      </c>
      <c r="V150" s="18">
        <v>5242.25</v>
      </c>
      <c r="X150" s="4" t="str">
        <f t="shared" si="5"/>
        <v>N/A</v>
      </c>
      <c r="Y150" s="4"/>
      <c r="Z150" s="4" t="s">
        <v>38</v>
      </c>
      <c r="AF150" s="4" t="s">
        <v>598</v>
      </c>
    </row>
    <row r="151" hidden="1">
      <c r="A151" s="34" t="s">
        <v>456</v>
      </c>
      <c r="B151" s="4" t="s">
        <v>599</v>
      </c>
      <c r="C151" s="4" t="s">
        <v>600</v>
      </c>
      <c r="D151" s="4" t="s">
        <v>601</v>
      </c>
      <c r="E151" s="5"/>
      <c r="F151" s="4" t="s">
        <v>602</v>
      </c>
      <c r="G151" s="6" t="str">
        <f t="shared" si="1"/>
        <v>Link</v>
      </c>
      <c r="H151" s="3" t="s">
        <v>45</v>
      </c>
      <c r="I151" s="8" t="str">
        <f t="shared" si="2"/>
        <v>{"address_components":[{"short_name":"W52C+F6","types":["plus_code"],"long_name":"W52C+F6"},{"short_name":"Beatty","types":["locality","political"],"long_name":"Beatty"},{"types":["administrative_area_level_2","political"],"long_name":"Nye County","short_name":"Nye County"},{"long_name":"Nevada","short_name":"NV","types":["administrative_area_level_1","political"]},{"short_name":"US","long_name":"United States","types":["country","political"]},{"short_name":"89003","long_name":"89003","types":["postal_code"]},{"types":["plus_code"],"long_name":"W52C+F6","short_name":"W52C+F6"},{"long_name":"Beatty","types":["locality","political"],"short_name":"Beatty"},{"long_name":"Nye County","short_name":"Nye County","types":["administrative_area_level_2","political"]},{"types":["administrative_area_level_1","political"],"long_name":"Nevada","short_name":"NV"},{"short_name":"US","types":["country","political"],"long_name":"United States"},{"long_name":"89003","short_name":"89003","types":["postal_code"]},{"types":["latitude"],"long_name":36.9011999,"short_name":36.9011999},{"types":["longitude"],"long_name":-116.8295329,"short_name":-116.8295329}],"duration_from":{"days":{"driving":{"2116 4th Ave, Seattle, WA, 98121":0.6793981481481483}}},"distance_from":{"mi":{"driving":{"2116 4th Ave, Seattle, WA, 98121":1024.2080604471398},"flying":{"2116 4th Ave, Seattle, WA, 98121":791.5431170541962}}}}</v>
      </c>
      <c r="J151" s="8" t="str">
        <f t="shared" si="3"/>
        <v>[{"short_name":"W52C+F6","types":["plus_code"],"long_name":"W52C+F6"},{"short_name":"Beatty","types":["locality","political"],"long_name":"Beatty"},{"types":["administrative_area_level_2","political"],"long_name":"Nye County","short_name":"Nye County"},{"long_name":"Nevada","short_name":"NV","types":["administrative_area_level_1","political"]},{"short_name":"US","long_name":"United States","types":["country","political"]},{"short_name":"89003","long_name":"89003","types":["postal_code"]},{"types":["plus_code"],"long_name":"W52C+F6","short_name":"W52C+F6"},{"long_name":"Beatty","types":["locality","political"],"short_name":"Beatty"},{"long_name":"Nye County","short_name":"Nye County","types":["administrative_area_level_2","political"]},{"types":["administrative_area_level_1","political"],"long_name":"Nevada","short_name":"NV"},{"short_name":"US","types":["country","political"],"long_name":"United States"},{"long_name":"89003","short_name":"89003","types":["postal_code"]},{"types":["latitude"],"long_name":36.9011999,"short_name":36.9011999},{"types":["longitude"],"long_name":-116.8295329,"short_name":-116.8295329},{"types":["debug_info","cache_load_result"],"long_name":"hit","short_name":"hit"}]</v>
      </c>
      <c r="K151" s="9" t="b">
        <f>NOT(AND(NOT(_xlfn.ISFORMULA(P151)),AND(NOT(_xlfn.ISFORMULA(Q151)),AND(NOT(_xlfn.ISFORMULA(R151)),AND(NOT(_xlfn.ISFORMULA(S151)),AND(NOT(_xlfn.ISFORMULA(T151)),AND(NOT(_xlfn.ISFORMULA(U151)),AND(NOT(_xlfn.ISFORMULA(V151))))))))))</f>
        <v>1</v>
      </c>
      <c r="L151" s="8" t="b">
        <f t="shared" si="4"/>
        <v>0</v>
      </c>
      <c r="M151" s="10" t="b">
        <v>1</v>
      </c>
      <c r="N151" s="8">
        <f>GOOGLEMAPS_GET_ADDRESS_LATITUDE(F151,true)</f>
        <v>36.9011999</v>
      </c>
      <c r="O151" s="8">
        <f>GOOGLEMAPS_GET_ADDRESS_LONGITUDE(F151,true)</f>
        <v>-116.8295329</v>
      </c>
      <c r="P151" s="8" t="str">
        <f>GOOGLEMAPS_GET_ADDRESS_CITY(F151,true,false)</f>
        <v>Beatty</v>
      </c>
      <c r="Q151" s="8" t="str">
        <f>GOOGLEMAPS_GET_ADDRESS_STATE(F151,true,false)</f>
        <v>Nevada</v>
      </c>
      <c r="R151" s="8" t="str">
        <f>GOOGLEMAPS_GET_ADDRESS_POSTAL_CODE(F151,false,false)</f>
        <v>89003</v>
      </c>
      <c r="S151" s="8" t="str">
        <f>GOOGLEMAPS_GET_ADDRESS_COUNTRY(F151,true,false)</f>
        <v>United States</v>
      </c>
      <c r="T151" s="11">
        <f>IFERROR(GOOGLEMAPS_DISTANCE("2116 4th Ave, Seattle, WA, 98121", F151, "driving")+0,"Not Driveable")</f>
        <v>1024.20806</v>
      </c>
      <c r="U151" s="12">
        <f>iferror(GOOGLEMAPS_DURATION("2116 4th Ave, Seattle, WA, 98121", F151, "driving")+0,"Not Driveable")</f>
        <v>0.6793981481</v>
      </c>
      <c r="V151" s="13">
        <f>GOOGLEMAPS_DISTANCE("2116 4th Ave, Seattle, WA, 98121", F151, "flying")+0</f>
        <v>791.5431171</v>
      </c>
      <c r="X151" s="4" t="str">
        <f t="shared" si="5"/>
        <v>N/A</v>
      </c>
      <c r="Z151" s="4" t="s">
        <v>38</v>
      </c>
    </row>
    <row r="152">
      <c r="A152" s="3" t="s">
        <v>456</v>
      </c>
      <c r="B152" s="4" t="s">
        <v>603</v>
      </c>
      <c r="C152" s="4"/>
      <c r="D152" s="4"/>
      <c r="E152" s="5"/>
      <c r="F152" s="4" t="s">
        <v>604</v>
      </c>
      <c r="G152" s="6" t="str">
        <f t="shared" si="1"/>
        <v>Link</v>
      </c>
      <c r="H152" s="3" t="s">
        <v>45</v>
      </c>
      <c r="I152" s="8" t="str">
        <f t="shared" si="2"/>
        <v>{"address_components":[{"long_name":"Escó","short_name":"Escó","types":["locality","political"]},{"short_name":"Z","types":["administrative_area_level_2","political"],"long_name":"Zaragoza"},{"long_name":"Aragon","short_name":"AR","types":["administrative_area_level_1","political"]},{"long_name":"Spain","short_name":"ES","types":["country","political"]},{"short_name":"50682","types":["postal_code"],"long_name":"50682"},{"short_name":"Esco","types":["establishment","point_of_interest","transit_station"],"long_name":"Esco"},{"short_name":"Escó","types":["locality","political"],"long_name":"Escó"},{"short_name":"Z","types":["administrative_area_level_2","political"],"long_name":"Zaragoza"},{"short_name":"AR","types":["administrative_area_level_1","political"],"long_name":"Aragón"},{"long_name":"Spain","short_name":"ES","types":["country","political"]},{"long_name":"50682","short_name":"50682","types":["postal_code"]},{"types":["latitude"],"long_name":42.6186606,"short_name":42.6186606},{"types":["longitude"],"long_name":-1.0583142,"short_name":-1.0583142}]}</v>
      </c>
      <c r="J152" s="8" t="str">
        <f t="shared" si="3"/>
        <v>[{"long_name":"Escó","short_name":"Escó","types":["locality","political"]},{"short_name":"Z","types":["administrative_area_level_2","political"],"long_name":"Zaragoza"},{"long_name":"Aragon","short_name":"AR","types":["administrative_area_level_1","political"]},{"long_name":"Spain","short_name":"ES","types":["country","political"]},{"short_name":"50682","types":["postal_code"],"long_name":"50682"},{"short_name":"Esco","types":["establishment","point_of_interest","transit_station"],"long_name":"Esco"},{"short_name":"Escó","types":["locality","political"],"long_name":"Escó"},{"short_name":"Z","types":["administrative_area_level_2","political"],"long_name":"Zaragoza"},{"short_name":"AR","types":["administrative_area_level_1","political"],"long_name":"Aragón"},{"long_name":"Spain","short_name":"ES","types":["country","political"]},{"long_name":"50682","short_name":"50682","types":["postal_code"]},{"types":["latitude"],"long_name":42.6186606,"short_name":42.6186606},{"types":["longitude"],"long_name":-1.0583142,"short_name":-1.0583142},{"types":["debug_info","cache_load_result"],"long_name":"hit","short_name":"hit"}]</v>
      </c>
      <c r="K152" s="9" t="b">
        <f t="shared" ref="K152:K153" si="211">NOT(AND(NOT(_xlfn.ISFORMULA(P152)),AND(NOT(_xlfn.ISFORMULA(Q152)),AND(NOT(_xlfn.ISFORMULA(R152)),AND(NOT(_xlfn.ISFORMULA(S152)),AND(NOT(_xlfn.ISFORMULA(T152)),AND(NOT(_xlfn.ISFORMULA(U152)),AND(NOT(_xlfn.ISFORMULA(V152)),AND(NOT(_xlfn.ISFORMULA(N152)),NOT(_xlfn.ISFORMULA(O152)))))))))))</f>
        <v>0</v>
      </c>
      <c r="L152" s="8" t="b">
        <f t="shared" si="4"/>
        <v>1</v>
      </c>
      <c r="M152" s="10" t="b">
        <v>1</v>
      </c>
      <c r="N152" s="10">
        <v>42.6186606</v>
      </c>
      <c r="O152" s="10">
        <v>-1.0583142</v>
      </c>
      <c r="P152" s="10" t="s">
        <v>605</v>
      </c>
      <c r="Q152" s="10" t="s">
        <v>606</v>
      </c>
      <c r="R152" s="10">
        <v>50682.0</v>
      </c>
      <c r="S152" s="10" t="s">
        <v>597</v>
      </c>
      <c r="T152" s="19" t="s">
        <v>56</v>
      </c>
      <c r="U152" s="20" t="s">
        <v>56</v>
      </c>
      <c r="V152" s="18">
        <v>5248.59</v>
      </c>
      <c r="X152" s="4" t="str">
        <f t="shared" si="5"/>
        <v>N/A</v>
      </c>
      <c r="Y152" s="4"/>
      <c r="Z152" s="4" t="s">
        <v>38</v>
      </c>
      <c r="AF152" s="4" t="s">
        <v>607</v>
      </c>
    </row>
    <row r="153">
      <c r="A153" s="34" t="s">
        <v>456</v>
      </c>
      <c r="B153" s="4" t="s">
        <v>608</v>
      </c>
      <c r="C153" s="4"/>
      <c r="D153" s="4"/>
      <c r="E153" s="5"/>
      <c r="F153" s="4" t="s">
        <v>609</v>
      </c>
      <c r="G153" s="6" t="str">
        <f t="shared" si="1"/>
        <v>Link</v>
      </c>
      <c r="H153" s="3" t="s">
        <v>120</v>
      </c>
      <c r="I153" s="8" t="str">
        <f t="shared" si="2"/>
        <v>{"address_components":[{"short_name":"Magnitogorsk","long_name":"Magnitogorsk","types":["locality","political"]},{"types":["administrative_area_level_2","political"],"long_name":"Gorod Magnitogorsk","short_name":"Gorod Magnitogorsk"},{"long_name":"Chelyabinsk Oblast","short_name":"Chelyabinsk Oblast","types":["administrative_area_level_1","political"]},{"long_name":"Russia","short_name":"RU","types":["country","political"]},{"long_name":"19Б","short_name":"19Б","types":["street_number"]},{"long_name":"Ulitsa Mayakovskogo","short_name":"Ulitsa Mayakovskogo","types":["route"]},{"short_name":"Magnitogorsk","long_name":"Magnitogorsk","types":["locality","political"]},{"types":["administrative_area_level_2","political"],"long_name":"Gorod Magnitogorsk","short_name":"Gorod Magnitogorsk"},{"long_name":"Chelyabinskaya oblast'","short_name":"Chelyabinskaya oblast'","types":["administrative_area_level_1","political"]},{"long_name":"Russia","short_name":"RU","types":["country","political"]},{"types":["postal_code"],"long_name":"455000","short_name":"455000"},{"types":["latitude"],"long_name":53.3927214,"short_name":53.3927214},{"types":["longitude"],"long_name":59.06230669999999,"short_name":59.06230669999999}]}</v>
      </c>
      <c r="J153" s="8" t="str">
        <f t="shared" si="3"/>
        <v>[{"short_name":"Magnitogorsk","long_name":"Magnitogorsk","types":["locality","political"]},{"types":["administrative_area_level_2","political"],"long_name":"Gorod Magnitogorsk","short_name":"Gorod Magnitogorsk"},{"long_name":"Chelyabinsk Oblast","short_name":"Chelyabinsk Oblast","types":["administrative_area_level_1","political"]},{"long_name":"Russia","short_name":"RU","types":["country","political"]},{"long_name":"19Б","short_name":"19Б","types":["street_number"]},{"long_name":"Ulitsa Mayakovskogo","short_name":"Ulitsa Mayakovskogo","types":["route"]},{"short_name":"Magnitogorsk","long_name":"Magnitogorsk","types":["locality","political"]},{"types":["administrative_area_level_2","political"],"long_name":"Gorod Magnitogorsk","short_name":"Gorod Magnitogorsk"},{"long_name":"Chelyabinskaya oblast'","short_name":"Chelyabinskaya oblast'","types":["administrative_area_level_1","political"]},{"long_name":"Russia","short_name":"RU","types":["country","political"]},{"types":["postal_code"],"long_name":"455000","short_name":"455000"},{"types":["latitude"],"long_name":53.3927214,"short_name":53.3927214},{"types":["longitude"],"long_name":59.06230669999999,"short_name":59.06230669999999},{"types":["debug_info","cache_load_result"],"long_name":"hit","short_name":"hit"}]</v>
      </c>
      <c r="K153" s="9" t="b">
        <f t="shared" si="211"/>
        <v>0</v>
      </c>
      <c r="L153" s="8" t="b">
        <f t="shared" si="4"/>
        <v>1</v>
      </c>
      <c r="M153" s="10" t="b">
        <v>1</v>
      </c>
      <c r="N153" s="10">
        <v>53.3927214</v>
      </c>
      <c r="O153" s="10">
        <v>59.0623067</v>
      </c>
      <c r="P153" s="10" t="s">
        <v>608</v>
      </c>
      <c r="Q153" s="10" t="s">
        <v>610</v>
      </c>
      <c r="R153" s="10">
        <v>455000.0</v>
      </c>
      <c r="S153" s="10" t="s">
        <v>315</v>
      </c>
      <c r="T153" s="19" t="s">
        <v>56</v>
      </c>
      <c r="U153" s="20" t="s">
        <v>56</v>
      </c>
      <c r="V153" s="18">
        <v>5457.42</v>
      </c>
      <c r="X153" s="4" t="str">
        <f t="shared" si="5"/>
        <v>N/A</v>
      </c>
      <c r="Z153" s="4" t="s">
        <v>38</v>
      </c>
      <c r="AB153" s="14" t="s">
        <v>611</v>
      </c>
      <c r="AF153" s="4" t="s">
        <v>612</v>
      </c>
    </row>
    <row r="154">
      <c r="A154" s="3" t="s">
        <v>456</v>
      </c>
      <c r="B154" s="4" t="s">
        <v>613</v>
      </c>
      <c r="C154" s="4"/>
      <c r="D154" s="4"/>
      <c r="E154" s="5"/>
      <c r="F154" s="4" t="s">
        <v>613</v>
      </c>
      <c r="G154" s="6" t="str">
        <f t="shared" si="1"/>
        <v>Link</v>
      </c>
      <c r="H154" s="3" t="s">
        <v>45</v>
      </c>
      <c r="I154" s="8" t="str">
        <f t="shared" si="2"/>
        <v>{"address_components":[{"types":["establishment","natural_feature"],"long_name":"Corsica","short_name":"Corsica"},{"short_name":"FR","long_name":"France","types":["country","political"]},{"long_name":"22Q7+R5","short_name":"22Q7+R5","types":["plus_code"]},{"short_name":"Ucciani","types":["locality","political"],"long_name":"Ucciani"},{"types":["administrative_area_level_2","political"],"short_name":"Corse-du-Sud","long_name":"Corse-du-Sud"},{"short_name":"Corsica","types":["administrative_area_level_1","political"],"long_name":"Corsica"},{"types":["country","political"],"long_name":"France","short_name":"FR"},{"short_name":"20133","types":["postal_code"],"long_name":"20133"},{"types":["latitude"],"long_name":42.0396042,"short_name":42.0396042},{"types":["longitude"],"long_name":9.012892599999999,"short_name":9.012892599999999}],"duration_from":{"days":{"driving":{"2116 4th Ave, Seattle, WA, 98121":"GOOGLE_MAPS_ERROR_CACHED - No route found!"}}},"distance_from":{"mi":{"flying":{"2116 4th Ave, Seattle, WA, 98121":5566.933028446444},"driving":{"2116 4th Ave, Seattle, WA, 98121":"GOOGLE_MAPS_ERROR_CACHED - No route found!"}}}}</v>
      </c>
      <c r="J154" s="8" t="str">
        <f t="shared" si="3"/>
        <v>[{"types":["establishment","natural_feature"],"long_name":"Corsica","short_name":"Corsica"},{"short_name":"FR","long_name":"France","types":["country","political"]},{"long_name":"22Q7+R5","short_name":"22Q7+R5","types":["plus_code"]},{"short_name":"Ucciani","types":["locality","political"],"long_name":"Ucciani"},{"types":["administrative_area_level_2","political"],"short_name":"Corse-du-Sud","long_name":"Corse-du-Sud"},{"short_name":"Corsica","types":["administrative_area_level_1","political"],"long_name":"Corsica"},{"types":["country","political"],"long_name":"France","short_name":"FR"},{"short_name":"20133","types":["postal_code"],"long_name":"20133"},{"types":["latitude"],"long_name":42.0396042,"short_name":42.0396042},{"types":["longitude"],"long_name":9.012892599999999,"short_name":9.012892599999999},{"types":["debug_info","cache_load_result"],"long_name":"hit","short_name":"hit"}]</v>
      </c>
      <c r="K154" s="9" t="b">
        <f t="shared" ref="K154:K155" si="212">NOT(AND(NOT(_xlfn.ISFORMULA(P154)),AND(NOT(_xlfn.ISFORMULA(Q154)),AND(NOT(_xlfn.ISFORMULA(R154)),AND(NOT(_xlfn.ISFORMULA(S154)),AND(NOT(_xlfn.ISFORMULA(T154)),AND(NOT(_xlfn.ISFORMULA(U154)),AND(NOT(_xlfn.ISFORMULA(V154))))))))))</f>
        <v>1</v>
      </c>
      <c r="L154" s="8" t="b">
        <f t="shared" si="4"/>
        <v>0</v>
      </c>
      <c r="M154" s="10" t="b">
        <v>1</v>
      </c>
      <c r="N154" s="8">
        <f t="shared" ref="N154:N155" si="213">GOOGLEMAPS_GET_ADDRESS_LATITUDE(F154,true)</f>
        <v>42.0396042</v>
      </c>
      <c r="O154" s="8">
        <f t="shared" ref="O154:O155" si="214">GOOGLEMAPS_GET_ADDRESS_LONGITUDE(F154,true)</f>
        <v>9.0128926</v>
      </c>
      <c r="P154" s="8" t="str">
        <f t="shared" ref="P154:P155" si="215">GOOGLEMAPS_GET_ADDRESS_CITY(F154,true,false)</f>
        <v>Ucciani</v>
      </c>
      <c r="Q154" s="8" t="str">
        <f t="shared" ref="Q154:Q155" si="216">GOOGLEMAPS_GET_ADDRESS_STATE(F154,true,false)</f>
        <v>Corsica</v>
      </c>
      <c r="R154" s="8" t="str">
        <f t="shared" ref="R154:R155" si="217">GOOGLEMAPS_GET_ADDRESS_POSTAL_CODE(F154,false,false)</f>
        <v>20133</v>
      </c>
      <c r="S154" s="8" t="str">
        <f t="shared" ref="S154:S155" si="218">GOOGLEMAPS_GET_ADDRESS_COUNTRY(F154,true,false)</f>
        <v>France</v>
      </c>
      <c r="T154" s="11" t="str">
        <f t="shared" ref="T154:T155" si="219">IFERROR(GOOGLEMAPS_DISTANCE("2116 4th Ave, Seattle, WA, 98121", F154, "driving")+0,"Not Driveable")</f>
        <v>Not Driveable</v>
      </c>
      <c r="U154" s="12" t="str">
        <f t="shared" ref="U154:U155" si="220">iferror(GOOGLEMAPS_DURATION("2116 4th Ave, Seattle, WA, 98121", F154, "driving")+0,"Not Driveable")</f>
        <v>Not Driveable</v>
      </c>
      <c r="V154" s="13">
        <f t="shared" ref="V154:V155" si="221">GOOGLEMAPS_DISTANCE("2116 4th Ave, Seattle, WA, 98121", F154, "flying")+0</f>
        <v>5566.933028</v>
      </c>
      <c r="X154" s="4" t="str">
        <f t="shared" si="5"/>
        <v>N/A</v>
      </c>
      <c r="Y154" s="4"/>
      <c r="Z154" s="4" t="s">
        <v>38</v>
      </c>
      <c r="AF154" s="4" t="s">
        <v>614</v>
      </c>
    </row>
    <row r="155">
      <c r="A155" s="3" t="s">
        <v>456</v>
      </c>
      <c r="B155" s="4" t="s">
        <v>615</v>
      </c>
      <c r="C155" s="4" t="s">
        <v>616</v>
      </c>
      <c r="D155" s="4"/>
      <c r="E155" s="3" t="s">
        <v>100</v>
      </c>
      <c r="F155" s="4" t="s">
        <v>617</v>
      </c>
      <c r="G155" s="6" t="str">
        <f t="shared" si="1"/>
        <v>Link</v>
      </c>
      <c r="H155" s="3" t="s">
        <v>405</v>
      </c>
      <c r="I155" s="8" t="str">
        <f t="shared" si="2"/>
        <v>{"address_components":[{"long_name":"West Bačka District","short_name":"West Bačka District","types":["administrative_area_level_2","political"]},{"long_name":"Vojvodina","types":["administrative_area_level_1","political"],"short_name":"Vojvodina"},{"short_name":"RS","long_name":"Serbia","types":["country","political"]},{"long_name":"P5PQ+6V","types":["plus_code"],"short_name":"P5PQ+6V"},{"types":["locality","political"],"long_name":"Sombor","short_name":"Sombor"},{"long_name":"West Bačka District","short_name":"West Bačka District","types":["administrative_area_level_2","political"]},{"short_name":"Vojvodina","types":["administrative_area_level_1","political"],"long_name":"Vojvodina"},{"long_name":"Serbia","types":["country","political"],"short_name":"RS"},{"types":["latitude"],"long_name":45.7355385,"short_name":45.7355385},{"types":["longitude"],"long_name":19.1897364,"short_name":19.1897364}],"duration_from":{"days":{"driving":{"2116 4th Ave, Seattle, WA, 98121":"GOOGLE_MAPS_ERROR_CACHED - No route found!"}}},"distance_from":{"mi":{"driving":{"2116 4th Ave, Seattle, WA, 98121":"GOOGLE_MAPS_ERROR_CACHED - No route found!"},"flying":{"2116 4th Ave, Seattle, WA, 98121":5580.032808480495}}}}</v>
      </c>
      <c r="J155" s="8" t="str">
        <f t="shared" si="3"/>
        <v>[{"long_name":"West Bačka District","short_name":"West Bačka District","types":["administrative_area_level_2","political"]},{"long_name":"Vojvodina","types":["administrative_area_level_1","political"],"short_name":"Vojvodina"},{"short_name":"RS","long_name":"Serbia","types":["country","political"]},{"long_name":"P5PQ+6V","types":["plus_code"],"short_name":"P5PQ+6V"},{"types":["locality","political"],"long_name":"Sombor","short_name":"Sombor"},{"long_name":"West Bačka District","short_name":"West Bačka District","types":["administrative_area_level_2","political"]},{"short_name":"Vojvodina","types":["administrative_area_level_1","political"],"long_name":"Vojvodina"},{"long_name":"Serbia","types":["country","political"],"short_name":"RS"},{"types":["latitude"],"long_name":45.7355385,"short_name":45.7355385},{"types":["longitude"],"long_name":19.1897364,"short_name":19.1897364},{"types":["debug_info","cache_load_result"],"long_name":"hit","short_name":"hit"}]</v>
      </c>
      <c r="K155" s="9" t="b">
        <f t="shared" si="212"/>
        <v>1</v>
      </c>
      <c r="L155" s="8" t="b">
        <f t="shared" si="4"/>
        <v>0</v>
      </c>
      <c r="M155" s="10" t="b">
        <v>1</v>
      </c>
      <c r="N155" s="8">
        <f t="shared" si="213"/>
        <v>45.7355385</v>
      </c>
      <c r="O155" s="8">
        <f t="shared" si="214"/>
        <v>19.1897364</v>
      </c>
      <c r="P155" s="8" t="str">
        <f t="shared" si="215"/>
        <v>Sombor</v>
      </c>
      <c r="Q155" s="8" t="str">
        <f t="shared" si="216"/>
        <v>Vojvodina</v>
      </c>
      <c r="R155" s="8" t="str">
        <f t="shared" si="217"/>
        <v>UNDEFINED</v>
      </c>
      <c r="S155" s="8" t="str">
        <f t="shared" si="218"/>
        <v>Serbia</v>
      </c>
      <c r="T155" s="11" t="str">
        <f t="shared" si="219"/>
        <v>Not Driveable</v>
      </c>
      <c r="U155" s="12" t="str">
        <f t="shared" si="220"/>
        <v>Not Driveable</v>
      </c>
      <c r="V155" s="13">
        <f t="shared" si="221"/>
        <v>5580.032808</v>
      </c>
      <c r="X155" s="4" t="str">
        <f t="shared" si="5"/>
        <v>N/A</v>
      </c>
      <c r="Y155" s="4"/>
      <c r="Z155" s="4" t="s">
        <v>38</v>
      </c>
    </row>
    <row r="156">
      <c r="A156" s="3" t="s">
        <v>456</v>
      </c>
      <c r="B156" s="4" t="s">
        <v>618</v>
      </c>
      <c r="C156" s="4"/>
      <c r="D156" s="4"/>
      <c r="E156" s="5"/>
      <c r="F156" s="4" t="s">
        <v>618</v>
      </c>
      <c r="G156" s="6" t="str">
        <f t="shared" si="1"/>
        <v>Link</v>
      </c>
      <c r="H156" s="3" t="s">
        <v>45</v>
      </c>
      <c r="I156" s="8" t="str">
        <f t="shared" si="2"/>
        <v>{"address_components":[{"long_name":"Humac","short_name":"Humac","types":["locality","political"]},{"types":["administrative_area_level_2","political"],"short_name":"Općina Jelsa","long_name":"Općina Jelsa"},{"types":["administrative_area_level_1","political"],"long_name":"Split-Dalmatia County","short_name":"Split-Dalmatia County"},{"long_name":"Croatia","types":["country","political"],"short_name":"HR"},{"types":["postal_code"],"long_name":"21465","short_name":"21465"},{"short_name":"8","types":["premise"],"long_name":"8"},{"long_name":"Humac","short_name":"Humac","types":["locality","political"]},{"short_name":"Općina Jelsa","types":["administrative_area_level_2","political"],"long_name":"Općina Jelsa"},{"types":["administrative_area_level_1","political"],"short_name":"Splitsko-dalmatinska županija","long_name":"Splitsko-dalmatinska županija"},{"short_name":"HR","types":["country","political"],"long_name":"Croatia"},{"long_name":"21465","short_name":"21465","types":["postal_code"]},{"types":["latitude"],"long_name":43.1432116,"short_name":43.1432116},{"types":["longitude"],"long_name":16.7581722,"short_name":16.7581722}]}</v>
      </c>
      <c r="J156" s="8" t="str">
        <f t="shared" si="3"/>
        <v>[{"long_name":"Humac","short_name":"Humac","types":["locality","political"]},{"types":["administrative_area_level_2","political"],"short_name":"Općina Jelsa","long_name":"Općina Jelsa"},{"types":["administrative_area_level_1","political"],"long_name":"Split-Dalmatia County","short_name":"Split-Dalmatia County"},{"long_name":"Croatia","types":["country","political"],"short_name":"HR"},{"types":["postal_code"],"long_name":"21465","short_name":"21465"},{"short_name":"8","types":["premise"],"long_name":"8"},{"long_name":"Humac","short_name":"Humac","types":["locality","political"]},{"short_name":"Općina Jelsa","types":["administrative_area_level_2","political"],"long_name":"Općina Jelsa"},{"types":["administrative_area_level_1","political"],"short_name":"Splitsko-dalmatinska županija","long_name":"Splitsko-dalmatinska županija"},{"short_name":"HR","types":["country","political"],"long_name":"Croatia"},{"long_name":"21465","short_name":"21465","types":["postal_code"]},{"types":["latitude"],"long_name":43.1432116,"short_name":43.1432116},{"types":["longitude"],"long_name":16.7581722,"short_name":16.7581722},{"types":["debug_info","cache_load_result"],"long_name":"hit","short_name":"hit"}]</v>
      </c>
      <c r="K156" s="9" t="b">
        <f>NOT(AND(NOT(_xlfn.ISFORMULA(P156)),AND(NOT(_xlfn.ISFORMULA(Q156)),AND(NOT(_xlfn.ISFORMULA(R156)),AND(NOT(_xlfn.ISFORMULA(S156)),AND(NOT(_xlfn.ISFORMULA(T156)),AND(NOT(_xlfn.ISFORMULA(U156)),AND(NOT(_xlfn.ISFORMULA(V156)),AND(NOT(_xlfn.ISFORMULA(N156)),NOT(_xlfn.ISFORMULA(O156)))))))))))</f>
        <v>0</v>
      </c>
      <c r="L156" s="8" t="b">
        <f t="shared" si="4"/>
        <v>1</v>
      </c>
      <c r="M156" s="10" t="b">
        <v>1</v>
      </c>
      <c r="N156" s="10">
        <v>43.1432116</v>
      </c>
      <c r="O156" s="10">
        <v>16.7581722</v>
      </c>
      <c r="P156" s="10" t="s">
        <v>619</v>
      </c>
      <c r="Q156" s="10" t="s">
        <v>620</v>
      </c>
      <c r="R156" s="10">
        <v>21465.0</v>
      </c>
      <c r="S156" s="10" t="s">
        <v>621</v>
      </c>
      <c r="T156" s="19" t="s">
        <v>56</v>
      </c>
      <c r="U156" s="20" t="s">
        <v>56</v>
      </c>
      <c r="V156" s="18">
        <v>5689.1</v>
      </c>
      <c r="X156" s="4" t="str">
        <f t="shared" si="5"/>
        <v>N/A</v>
      </c>
      <c r="Y156" s="4"/>
      <c r="Z156" s="4" t="s">
        <v>38</v>
      </c>
      <c r="AF156" s="4" t="s">
        <v>622</v>
      </c>
    </row>
    <row r="157">
      <c r="A157" s="3" t="s">
        <v>456</v>
      </c>
      <c r="B157" s="4" t="s">
        <v>623</v>
      </c>
      <c r="C157" s="4" t="s">
        <v>624</v>
      </c>
      <c r="D157" s="4"/>
      <c r="E157" s="5"/>
      <c r="F157" s="4" t="s">
        <v>623</v>
      </c>
      <c r="G157" s="6" t="str">
        <f t="shared" si="1"/>
        <v>Link</v>
      </c>
      <c r="H157" s="3" t="s">
        <v>37</v>
      </c>
      <c r="I157" s="8" t="str">
        <f t="shared" si="2"/>
        <v>{"address_components":[{"types":["establishment","park","point_of_interest"],"long_name":"Perućica","short_name":"Perućica"},{"short_name":"Tjentište","long_name":"Tjentište","types":["locality","political"]},{"long_name":"Republika Srpska","short_name":"Republika Srpska","types":["administrative_area_level_1","political"]},{"short_name":"BA","types":["country","political"],"long_name":"Bosnia and Herzegovina"},{"short_name":"8M9Q+9G","types":["plus_code"],"long_name":"8M9Q+9G"},{"types":["locality","political"],"short_name":"Tjentište","long_name":"Tjentište"},{"short_name":"Republika Srpska","long_name":"Republika Srpska","types":["administrative_area_level_1","political"]},{"types":["country","political"],"long_name":"Bosnia and Herzegovina","short_name":"BA"},{"types":["latitude"],"long_name":43.31842,"short_name":43.31842},{"types":["longitude"],"long_name":18.6888227,"short_name":18.6888227}],"duration_from":{"days":{"driving":{"2116 4th Ave, Seattle, WA, 98121":"GOOGLE_MAPS_ERROR_CACHED - No route found!"}}},"distance_from":{"mi":{"driving":{"2116 4th Ave, Seattle, WA, 98121":"GOOGLE_MAPS_ERROR_CACHED - No route found!"},"flying":{"2116 4th Ave, Seattle, WA, 98121":5720.610933674674}}}}</v>
      </c>
      <c r="J157" s="8" t="str">
        <f t="shared" si="3"/>
        <v>[{"types":["establishment","park","point_of_interest"],"long_name":"Perućica","short_name":"Perućica"},{"short_name":"Tjentište","long_name":"Tjentište","types":["locality","political"]},{"long_name":"Republika Srpska","short_name":"Republika Srpska","types":["administrative_area_level_1","political"]},{"short_name":"BA","types":["country","political"],"long_name":"Bosnia and Herzegovina"},{"short_name":"8M9Q+9G","types":["plus_code"],"long_name":"8M9Q+9G"},{"types":["locality","political"],"short_name":"Tjentište","long_name":"Tjentište"},{"short_name":"Republika Srpska","long_name":"Republika Srpska","types":["administrative_area_level_1","political"]},{"types":["country","political"],"long_name":"Bosnia and Herzegovina","short_name":"BA"},{"types":["latitude"],"long_name":43.31842,"short_name":43.31842},{"types":["longitude"],"long_name":18.6888227,"short_name":18.6888227},{"types":["debug_info","cache_load_result"],"long_name":"hit","short_name":"hit"}]</v>
      </c>
      <c r="K157" s="9" t="b">
        <f>NOT(AND(NOT(_xlfn.ISFORMULA(P157)),AND(NOT(_xlfn.ISFORMULA(Q157)),AND(NOT(_xlfn.ISFORMULA(R157)),AND(NOT(_xlfn.ISFORMULA(S157)),AND(NOT(_xlfn.ISFORMULA(T157)),AND(NOT(_xlfn.ISFORMULA(U157)),AND(NOT(_xlfn.ISFORMULA(V157))))))))))</f>
        <v>1</v>
      </c>
      <c r="L157" s="8" t="b">
        <f t="shared" si="4"/>
        <v>0</v>
      </c>
      <c r="M157" s="10" t="b">
        <v>1</v>
      </c>
      <c r="N157" s="8">
        <f>GOOGLEMAPS_GET_ADDRESS_LATITUDE(F157,true)</f>
        <v>43.31842</v>
      </c>
      <c r="O157" s="8">
        <f>GOOGLEMAPS_GET_ADDRESS_LONGITUDE(F157,true)</f>
        <v>18.6888227</v>
      </c>
      <c r="P157" s="8" t="str">
        <f>GOOGLEMAPS_GET_ADDRESS_CITY(F157,true,false)</f>
        <v>Tjentište</v>
      </c>
      <c r="Q157" s="8" t="str">
        <f>GOOGLEMAPS_GET_ADDRESS_STATE(F157,true,false)</f>
        <v>Republika Srpska</v>
      </c>
      <c r="R157" s="8" t="str">
        <f>GOOGLEMAPS_GET_ADDRESS_POSTAL_CODE(F157,false,false)</f>
        <v>UNDEFINED</v>
      </c>
      <c r="S157" s="8" t="str">
        <f>GOOGLEMAPS_GET_ADDRESS_COUNTRY(F157,true,false)</f>
        <v>Bosnia and Herzegovina</v>
      </c>
      <c r="T157" s="11" t="str">
        <f>IFERROR(GOOGLEMAPS_DISTANCE("2116 4th Ave, Seattle, WA, 98121", F157, "driving")+0,"Not Driveable")</f>
        <v>Not Driveable</v>
      </c>
      <c r="U157" s="12" t="str">
        <f>iferror(GOOGLEMAPS_DURATION("2116 4th Ave, Seattle, WA, 98121", F157, "driving")+0,"Not Driveable")</f>
        <v>Not Driveable</v>
      </c>
      <c r="V157" s="13">
        <f>GOOGLEMAPS_DISTANCE("2116 4th Ave, Seattle, WA, 98121", F157, "flying")+0</f>
        <v>5720.610934</v>
      </c>
      <c r="X157" s="4" t="str">
        <f t="shared" si="5"/>
        <v>N/A</v>
      </c>
      <c r="Y157" s="4"/>
      <c r="Z157" s="4" t="s">
        <v>38</v>
      </c>
    </row>
    <row r="158">
      <c r="A158" s="34" t="s">
        <v>456</v>
      </c>
      <c r="B158" s="4" t="s">
        <v>625</v>
      </c>
      <c r="C158" s="4"/>
      <c r="D158" s="4"/>
      <c r="E158" s="5"/>
      <c r="F158" s="4" t="s">
        <v>626</v>
      </c>
      <c r="G158" s="6" t="str">
        <f t="shared" si="1"/>
        <v>Link</v>
      </c>
      <c r="H158" s="3" t="s">
        <v>120</v>
      </c>
      <c r="I158" s="8" t="str">
        <f t="shared" si="2"/>
        <v>{"address_components":[{"short_name":"Chuquicamata","long_name":"Chuquicamata","types":["locality","political"]},{"types":["administrative_area_level_3","political"],"long_name":"Calama","short_name":"Calama"},{"short_name":"El Loa","long_name":"El Loa","types":["administrative_area_level_2","political"]},{"short_name":"Antofagasta","long_name":"Antofagasta","types":["administrative_area_level_1","political"]},{"long_name":"Chile","short_name":"CL","types":["country","political"]},{"long_name":"M3RJ+4X","types":["plus_code"],"short_name":"M3RJ+4X"},{"short_name":"Chuquicamata","types":["locality","political"],"long_name":"Chuquicamata"},{"long_name":"Calama","types":["administrative_area_level_3","political"],"short_name":"Calama"},{"short_name":"El Loa","long_name":"El Loa","types":["administrative_area_level_2","political"]},{"types":["administrative_area_level_1","political"],"long_name":"Antofagasta","short_name":"Antofagasta"},{"short_name":"CL","types":["country","political"],"long_name":"Chile"},{"types":["latitude"],"long_name":-22.3090245,"short_name":-22.3090245},{"types":["longitude"],"long_name":-68.91883159999999,"short_name":-68.91883159999999}]}</v>
      </c>
      <c r="J158" s="8" t="str">
        <f t="shared" si="3"/>
        <v>[{"short_name":"Chuquicamata","long_name":"Chuquicamata","types":["locality","political"]},{"types":["administrative_area_level_3","political"],"long_name":"Calama","short_name":"Calama"},{"short_name":"El Loa","long_name":"El Loa","types":["administrative_area_level_2","political"]},{"short_name":"Antofagasta","long_name":"Antofagasta","types":["administrative_area_level_1","political"]},{"long_name":"Chile","short_name":"CL","types":["country","political"]},{"long_name":"M3RJ+4X","types":["plus_code"],"short_name":"M3RJ+4X"},{"short_name":"Chuquicamata","types":["locality","political"],"long_name":"Chuquicamata"},{"long_name":"Calama","types":["administrative_area_level_3","political"],"short_name":"Calama"},{"short_name":"El Loa","long_name":"El Loa","types":["administrative_area_level_2","political"]},{"types":["administrative_area_level_1","political"],"long_name":"Antofagasta","short_name":"Antofagasta"},{"short_name":"CL","types":["country","political"],"long_name":"Chile"},{"types":["latitude"],"long_name":-22.3090245,"short_name":-22.3090245},{"types":["longitude"],"long_name":-68.91883159999999,"short_name":-68.91883159999999},{"types":["debug_info","cache_load_result"],"long_name":"hit","short_name":"hit"}]</v>
      </c>
      <c r="K158" s="9" t="b">
        <f>NOT(AND(NOT(_xlfn.ISFORMULA(P158)),AND(NOT(_xlfn.ISFORMULA(Q158)),AND(NOT(_xlfn.ISFORMULA(R158)),AND(NOT(_xlfn.ISFORMULA(S158)),AND(NOT(_xlfn.ISFORMULA(T158)),AND(NOT(_xlfn.ISFORMULA(U158)),AND(NOT(_xlfn.ISFORMULA(V158)),AND(NOT(_xlfn.ISFORMULA(N158)),NOT(_xlfn.ISFORMULA(O158)))))))))))</f>
        <v>0</v>
      </c>
      <c r="L158" s="8" t="b">
        <f t="shared" si="4"/>
        <v>1</v>
      </c>
      <c r="M158" s="15" t="b">
        <v>1</v>
      </c>
      <c r="N158" s="10">
        <v>-22.3090245</v>
      </c>
      <c r="O158" s="10">
        <v>-68.9188316</v>
      </c>
      <c r="P158" s="10" t="s">
        <v>627</v>
      </c>
      <c r="Q158" s="10" t="s">
        <v>628</v>
      </c>
      <c r="R158" s="10" t="s">
        <v>55</v>
      </c>
      <c r="S158" s="10" t="s">
        <v>629</v>
      </c>
      <c r="T158" s="19" t="s">
        <v>56</v>
      </c>
      <c r="U158" s="20" t="s">
        <v>56</v>
      </c>
      <c r="V158" s="18">
        <v>5856.64</v>
      </c>
      <c r="W158" s="4"/>
      <c r="X158" s="4" t="str">
        <f t="shared" si="5"/>
        <v>N/A</v>
      </c>
      <c r="Y158" s="4"/>
      <c r="Z158" s="4" t="s">
        <v>38</v>
      </c>
      <c r="AA158" s="4"/>
      <c r="AB158" s="14" t="s">
        <v>630</v>
      </c>
      <c r="AE158" s="4" t="s">
        <v>631</v>
      </c>
    </row>
    <row r="159">
      <c r="A159" s="3" t="s">
        <v>456</v>
      </c>
      <c r="B159" s="4" t="s">
        <v>632</v>
      </c>
      <c r="C159" s="4"/>
      <c r="D159" s="4"/>
      <c r="E159" s="5"/>
      <c r="F159" s="4" t="s">
        <v>633</v>
      </c>
      <c r="G159" s="6" t="str">
        <f t="shared" si="1"/>
        <v>Link</v>
      </c>
      <c r="H159" s="3" t="s">
        <v>45</v>
      </c>
      <c r="I159" s="8" t="str">
        <f t="shared" si="2"/>
        <v>{"distance_from":{"mi":{"flying":{"2116 4th Ave, Seattle, WA, 98121":5929.137410366983},"driving":{"2116 4th Ave, Seattle, WA, 98121":"GOOGLE_MAPS_ERROR_CACHED - No route found!"}}},"address_components":[{"long_name":"Poggioreale","short_name":"Poggioreale","types":["locality","political"]},{"types":["administrative_area_level_3","political"],"short_name":"Poggioreale","long_name":"Poggioreale"},{"short_name":"TP","long_name":"Free municipal consortium of Trapani","types":["administrative_area_level_2","political"]},{"short_name":"Sicily","long_name":"Sicily","types":["administrative_area_level_1","political"]},{"short_name":"IT","long_name":"Italy","types":["country","political"]},{"long_name":"91020","short_name":"91020","types":["postal_code"]},{"types":["street_number"],"long_name":"2","short_name":"2"},{"types":["route"],"short_name":"Via Palermo","long_name":"Via Palermo"},{"short_name":"Poggioreale","long_name":"Poggioreale","types":["locality","political"]},{"short_name":"Poggioreale","long_name":"Poggioreale","types":["administrative_area_level_3","political"]},{"long_name":"Libero consorzio comunale di Trapani","short_name":"TP","types":["administrative_area_level_2","political"]},{"long_name":"Sicilia","types":["administrative_area_level_1","political"],"short_name":"Sicilia"},{"types":["country","political"],"short_name":"IT","long_name":"Italy"},{"types":["postal_code"],"long_name":"91020","short_name":"91020"},{"types":["latitude"],"long_name":37.7617302,"short_name":37.7617302},{"types":["longitude"],"long_name":13.0352224,"short_name":13.0352224}],"duration_from":{"days":{"driving":{"2116 4th Ave, Seattle, WA, 98121":"GOOGLE_MAPS_ERROR_CACHED - No route found!"}}}}</v>
      </c>
      <c r="J159" s="8" t="str">
        <f t="shared" si="3"/>
        <v>[{"long_name":"Poggioreale","short_name":"Poggioreale","types":["locality","political"]},{"types":["administrative_area_level_3","political"],"short_name":"Poggioreale","long_name":"Poggioreale"},{"short_name":"TP","long_name":"Free municipal consortium of Trapani","types":["administrative_area_level_2","political"]},{"short_name":"Sicily","long_name":"Sicily","types":["administrative_area_level_1","political"]},{"short_name":"IT","long_name":"Italy","types":["country","political"]},{"long_name":"91020","short_name":"91020","types":["postal_code"]},{"types":["street_number"],"long_name":"2","short_name":"2"},{"types":["route"],"short_name":"Via Palermo","long_name":"Via Palermo"},{"short_name":"Poggioreale","long_name":"Poggioreale","types":["locality","political"]},{"short_name":"Poggioreale","long_name":"Poggioreale","types":["administrative_area_level_3","political"]},{"long_name":"Libero consorzio comunale di Trapani","short_name":"TP","types":["administrative_area_level_2","political"]},{"long_name":"Sicilia","types":["administrative_area_level_1","political"],"short_name":"Sicilia"},{"types":["country","political"],"short_name":"IT","long_name":"Italy"},{"types":["postal_code"],"long_name":"91020","short_name":"91020"},{"types":["latitude"],"long_name":37.7617302,"short_name":37.7617302},{"types":["longitude"],"long_name":13.0352224,"short_name":13.0352224},{"types":["debug_info","cache_load_result"],"long_name":"hit","short_name":"hit"}]</v>
      </c>
      <c r="K159" s="9" t="b">
        <f t="shared" ref="K159:K164" si="222">NOT(AND(NOT(_xlfn.ISFORMULA(P159)),AND(NOT(_xlfn.ISFORMULA(Q159)),AND(NOT(_xlfn.ISFORMULA(R159)),AND(NOT(_xlfn.ISFORMULA(S159)),AND(NOT(_xlfn.ISFORMULA(T159)),AND(NOT(_xlfn.ISFORMULA(U159)),AND(NOT(_xlfn.ISFORMULA(V159))))))))))</f>
        <v>1</v>
      </c>
      <c r="L159" s="8" t="b">
        <f t="shared" si="4"/>
        <v>1</v>
      </c>
      <c r="M159" s="10" t="b">
        <v>1</v>
      </c>
      <c r="N159" s="8">
        <f t="shared" ref="N159:N164" si="223">GOOGLEMAPS_GET_ADDRESS_LATITUDE(F159,true)</f>
        <v>37.7617302</v>
      </c>
      <c r="O159" s="8">
        <f t="shared" ref="O159:O164" si="224">GOOGLEMAPS_GET_ADDRESS_LONGITUDE(F159,true)</f>
        <v>13.0352224</v>
      </c>
      <c r="P159" s="8" t="str">
        <f t="shared" ref="P159:P164" si="225">GOOGLEMAPS_GET_ADDRESS_CITY(F159,true,false)</f>
        <v>Poggioreale</v>
      </c>
      <c r="Q159" s="8" t="str">
        <f t="shared" ref="Q159:Q164" si="226">GOOGLEMAPS_GET_ADDRESS_STATE(F159,true,false)</f>
        <v>Sicily</v>
      </c>
      <c r="R159" s="8" t="str">
        <f t="shared" ref="R159:R164" si="227">GOOGLEMAPS_GET_ADDRESS_POSTAL_CODE(F159,false,false)</f>
        <v>91020</v>
      </c>
      <c r="S159" s="8" t="str">
        <f t="shared" ref="S159:S164" si="228">GOOGLEMAPS_GET_ADDRESS_COUNTRY(F159,true,false)</f>
        <v>Italy</v>
      </c>
      <c r="T159" s="11" t="str">
        <f t="shared" ref="T159:T164" si="229">IFERROR(GOOGLEMAPS_DISTANCE("2116 4th Ave, Seattle, WA, 98121", F159, "driving")+0,"Not Driveable")</f>
        <v>Not Driveable</v>
      </c>
      <c r="U159" s="12" t="str">
        <f t="shared" ref="U159:U164" si="230">iferror(GOOGLEMAPS_DURATION("2116 4th Ave, Seattle, WA, 98121", F159, "driving")+0,"Not Driveable")</f>
        <v>Not Driveable</v>
      </c>
      <c r="V159" s="13">
        <f t="shared" ref="V159:V164" si="231">GOOGLEMAPS_DISTANCE("2116 4th Ave, Seattle, WA, 98121", F159, "flying")+0</f>
        <v>5929.13741</v>
      </c>
      <c r="X159" s="4" t="str">
        <f t="shared" si="5"/>
        <v>N/A</v>
      </c>
      <c r="Y159" s="4"/>
      <c r="Z159" s="4" t="s">
        <v>38</v>
      </c>
      <c r="AF159" s="4" t="s">
        <v>634</v>
      </c>
    </row>
    <row r="160">
      <c r="A160" s="34" t="s">
        <v>456</v>
      </c>
      <c r="B160" s="4" t="s">
        <v>635</v>
      </c>
      <c r="C160" s="4"/>
      <c r="D160" s="4"/>
      <c r="E160" s="5"/>
      <c r="F160" s="4" t="s">
        <v>635</v>
      </c>
      <c r="G160" s="6" t="str">
        <f t="shared" si="1"/>
        <v>Link</v>
      </c>
      <c r="H160" s="3" t="s">
        <v>45</v>
      </c>
      <c r="I160" s="8" t="str">
        <f t="shared" si="2"/>
        <v>{"duration_from":{"days":{"driving":{"2116 4th Ave, Seattle, WA, 98121":"GOOGLE_MAPS_ERROR_CACHED - No route found!"}}},"address_components":[{"long_name":"China","types":["country","political"],"short_name":"CN"},{"long_name":"V56W+M5","short_name":"V56W+M5","types":["plus_code"]},{"short_name":"Qingshuiyixiang","long_name":"Qingshuiyixiang","types":["political","sublocality","sublocality_level_2"]},{"long_name":"Yuzhong County","short_name":"Yuzhong County","types":["political","sublocality","sublocality_level_1"]},{"long_name":"Lanzhou","types":["locality","political"],"short_name":"Lanzhou"},{"long_name":"Gansu","types":["administrative_area_level_1","political"],"short_name":"Gansu"},{"short_name":"CN","long_name":"China","types":["country","political"]},{"types":["postal_code"],"long_name":"730111","short_name":"730111"},{"types":["latitude"],"long_name":35.86166,"short_name":35.86166},{"types":["longitude"],"long_name":104.195397,"short_name":104.195397}],"distance_from":{"mi":{"driving":{"2116 4th Ave, Seattle, WA, 98121":"GOOGLE_MAPS_ERROR_CACHED - No route found!"},"flying":{"2116 4th Ave, Seattle, WA, 98121":5993.0412467222595}}}}</v>
      </c>
      <c r="J160" s="8" t="str">
        <f t="shared" si="3"/>
        <v>[{"long_name":"China","types":["country","political"],"short_name":"CN"},{"long_name":"V56W+M5","short_name":"V56W+M5","types":["plus_code"]},{"short_name":"Qingshuiyixiang","long_name":"Qingshuiyixiang","types":["political","sublocality","sublocality_level_2"]},{"long_name":"Yuzhong County","short_name":"Yuzhong County","types":["political","sublocality","sublocality_level_1"]},{"long_name":"Lanzhou","types":["locality","political"],"short_name":"Lanzhou"},{"long_name":"Gansu","types":["administrative_area_level_1","political"],"short_name":"Gansu"},{"short_name":"CN","long_name":"China","types":["country","political"]},{"types":["postal_code"],"long_name":"730111","short_name":"730111"},{"types":["latitude"],"long_name":35.86166,"short_name":35.86166},{"types":["longitude"],"long_name":104.195397,"short_name":104.195397},{"types":["debug_info","cache_load_result"],"long_name":"hit","short_name":"hit"}]</v>
      </c>
      <c r="K160" s="9" t="b">
        <f t="shared" si="222"/>
        <v>1</v>
      </c>
      <c r="L160" s="8" t="b">
        <f t="shared" si="4"/>
        <v>0</v>
      </c>
      <c r="M160" s="15" t="b">
        <v>1</v>
      </c>
      <c r="N160" s="8">
        <f t="shared" si="223"/>
        <v>35.86166</v>
      </c>
      <c r="O160" s="8">
        <f t="shared" si="224"/>
        <v>104.195397</v>
      </c>
      <c r="P160" s="8" t="str">
        <f t="shared" si="225"/>
        <v>Lanzhou</v>
      </c>
      <c r="Q160" s="8" t="str">
        <f t="shared" si="226"/>
        <v>Gansu</v>
      </c>
      <c r="R160" s="8" t="str">
        <f t="shared" si="227"/>
        <v>730111</v>
      </c>
      <c r="S160" s="8" t="str">
        <f t="shared" si="228"/>
        <v>China</v>
      </c>
      <c r="T160" s="11" t="str">
        <f t="shared" si="229"/>
        <v>Not Driveable</v>
      </c>
      <c r="U160" s="12" t="str">
        <f t="shared" si="230"/>
        <v>Not Driveable</v>
      </c>
      <c r="V160" s="13">
        <f t="shared" si="231"/>
        <v>5993.041247</v>
      </c>
      <c r="W160" s="4"/>
      <c r="X160" s="4" t="str">
        <f t="shared" si="5"/>
        <v>N/A</v>
      </c>
      <c r="Y160" s="4"/>
      <c r="Z160" s="4" t="s">
        <v>38</v>
      </c>
      <c r="AA160" s="4"/>
      <c r="AB160" s="14" t="s">
        <v>103</v>
      </c>
      <c r="AE160" s="4"/>
      <c r="AF160" s="4" t="s">
        <v>636</v>
      </c>
    </row>
    <row r="161">
      <c r="A161" s="3" t="s">
        <v>456</v>
      </c>
      <c r="B161" s="4" t="s">
        <v>637</v>
      </c>
      <c r="C161" s="4" t="s">
        <v>638</v>
      </c>
      <c r="D161" s="4" t="s">
        <v>639</v>
      </c>
      <c r="E161" s="3" t="s">
        <v>174</v>
      </c>
      <c r="F161" s="4" t="s">
        <v>637</v>
      </c>
      <c r="G161" s="6" t="str">
        <f t="shared" si="1"/>
        <v>Link</v>
      </c>
      <c r="H161" s="3" t="s">
        <v>331</v>
      </c>
      <c r="I161" s="7" t="str">
        <f t="shared" si="2"/>
        <v>{"address_components":[{"long_name":"Türkiye","types":["country","political"],"short_name":"TR"},{"short_name":"8GCQX67V+F8","types":["plus_code"],"long_name":"8GCQX67V+F8"},{"types":["latitude"],"long_name":38.963745,"short_name":38.963745},{"types":["longitude"],"long_name":35.243322,"short_name":35.243322}],"distance_from":{"mi":{"flying":{"2116 4th Ave, Seattle, WA, 98121":6297.930828786956},"driving":{"2116 4th Ave, Seattle, WA, 98121":"GOOGLE_MAPS_ERROR_CACHED - No route found!"}}},"duration_from":{"days":{"driving":{"2116 4th Ave, Seattle, WA, 98121":"GOOGLE_MAPS_ERROR_CACHED - No route found!"}}}}</v>
      </c>
      <c r="J161" s="8" t="str">
        <f t="shared" si="3"/>
        <v>[{"long_name":"Türkiye","types":["country","political"],"short_name":"TR"},{"short_name":"8GCQX67V+F8","types":["plus_code"],"long_name":"8GCQX67V+F8"},{"types":["latitude"],"long_name":38.963745,"short_name":38.963745},{"types":["longitude"],"long_name":35.243322,"short_name":35.243322},{"types":["debug_info","cache_load_result"],"long_name":"hit","short_name":"hit"}]</v>
      </c>
      <c r="K161" s="9" t="b">
        <f t="shared" si="222"/>
        <v>1</v>
      </c>
      <c r="L161" s="8" t="b">
        <f t="shared" si="4"/>
        <v>0</v>
      </c>
      <c r="M161" s="10" t="b">
        <v>1</v>
      </c>
      <c r="N161" s="8">
        <f t="shared" si="223"/>
        <v>38.963745</v>
      </c>
      <c r="O161" s="8">
        <f t="shared" si="224"/>
        <v>35.243322</v>
      </c>
      <c r="P161" s="8" t="str">
        <f t="shared" si="225"/>
        <v>UNDEFINED</v>
      </c>
      <c r="Q161" s="8" t="str">
        <f t="shared" si="226"/>
        <v>UNDEFINED</v>
      </c>
      <c r="R161" s="8" t="str">
        <f t="shared" si="227"/>
        <v>UNDEFINED</v>
      </c>
      <c r="S161" s="8" t="str">
        <f t="shared" si="228"/>
        <v>Türkiye</v>
      </c>
      <c r="T161" s="11" t="str">
        <f t="shared" si="229"/>
        <v>Not Driveable</v>
      </c>
      <c r="U161" s="12" t="str">
        <f t="shared" si="230"/>
        <v>Not Driveable</v>
      </c>
      <c r="V161" s="13">
        <f t="shared" si="231"/>
        <v>6297.930829</v>
      </c>
      <c r="X161" s="4" t="str">
        <f t="shared" si="5"/>
        <v>N/A</v>
      </c>
      <c r="Y161" s="4"/>
      <c r="Z161" s="4" t="s">
        <v>38</v>
      </c>
      <c r="AB161" s="14" t="s">
        <v>69</v>
      </c>
    </row>
    <row r="162" hidden="1">
      <c r="A162" s="34" t="s">
        <v>456</v>
      </c>
      <c r="B162" s="4" t="s">
        <v>640</v>
      </c>
      <c r="C162" s="4"/>
      <c r="D162" s="4"/>
      <c r="E162" s="5"/>
      <c r="F162" s="4" t="s">
        <v>641</v>
      </c>
      <c r="G162" s="6" t="str">
        <f t="shared" si="1"/>
        <v>Link</v>
      </c>
      <c r="H162" s="3" t="s">
        <v>120</v>
      </c>
      <c r="I162" s="8" t="str">
        <f t="shared" si="2"/>
        <v>{"address_components":[{"long_name":"Unnamed Road","types":["route"],"short_name":"Unnamed Road"},{"long_name":"Valley County","types":["administrative_area_level_2","political"],"short_name":"Valley County"},{"long_name":"Idaho","short_name":"ID","types":["administrative_area_level_1","political"]},{"short_name":"US","long_name":"United States","types":["country","political"]},{"short_name":"83638","long_name":"83638","types":["postal_code"]},{"long_name":"85Q6543X+HH","short_name":"85Q6543X+HH","types":["plus_code"]},{"types":["latitude"],"long_name":45.1539973,"short_name":45.1539973},{"types":["longitude"],"long_name":-115.85103,"short_name":-115.85103}],"distance_from":{"mi":{"driving":{"2116 4th Ave, Seattle, WA, 98121":"GOOGLE_MAPS_ERROR_CACHED - No route found!"},"flying":{"2116 4th Ave, Seattle, WA, 98121":352.82413908807337}}},"duration_from":{"days":{"driving":{"2116 4th Ave, Seattle, WA, 98121":"GOOGLE_MAPS_ERROR_CACHED - No route found!"}}}}</v>
      </c>
      <c r="J162" s="8" t="str">
        <f t="shared" si="3"/>
        <v>[{"long_name":"Unnamed Road","types":["route"],"short_name":"Unnamed Road"},{"long_name":"Valley County","types":["administrative_area_level_2","political"],"short_name":"Valley County"},{"long_name":"Idaho","short_name":"ID","types":["administrative_area_level_1","political"]},{"short_name":"US","long_name":"United States","types":["country","political"]},{"short_name":"83638","long_name":"83638","types":["postal_code"]},{"long_name":"85Q6543X+HH","short_name":"85Q6543X+HH","types":["plus_code"]},{"types":["latitude"],"long_name":45.1539973,"short_name":45.1539973},{"types":["longitude"],"long_name":-115.85103,"short_name":-115.85103},{"types":["debug_info","cache_load_result"],"long_name":"hit","short_name":"hit"}]</v>
      </c>
      <c r="K162" s="9" t="b">
        <f t="shared" si="222"/>
        <v>1</v>
      </c>
      <c r="L162" s="8" t="b">
        <f t="shared" si="4"/>
        <v>0</v>
      </c>
      <c r="M162" s="10" t="b">
        <v>1</v>
      </c>
      <c r="N162" s="8">
        <f t="shared" si="223"/>
        <v>45.1539973</v>
      </c>
      <c r="O162" s="8">
        <f t="shared" si="224"/>
        <v>-115.85103</v>
      </c>
      <c r="P162" s="8" t="str">
        <f t="shared" si="225"/>
        <v>McCall</v>
      </c>
      <c r="Q162" s="8" t="str">
        <f t="shared" si="226"/>
        <v>Idaho</v>
      </c>
      <c r="R162" s="8" t="str">
        <f t="shared" si="227"/>
        <v>83638</v>
      </c>
      <c r="S162" s="8" t="str">
        <f t="shared" si="228"/>
        <v>United States</v>
      </c>
      <c r="T162" s="11" t="str">
        <f t="shared" si="229"/>
        <v>Not Driveable</v>
      </c>
      <c r="U162" s="12" t="str">
        <f t="shared" si="230"/>
        <v>Not Driveable</v>
      </c>
      <c r="V162" s="13">
        <f t="shared" si="231"/>
        <v>352.8241391</v>
      </c>
      <c r="W162" s="4" t="s">
        <v>642</v>
      </c>
      <c r="X162" s="4" t="str">
        <f t="shared" si="5"/>
        <v>UNKNOWN</v>
      </c>
      <c r="Z162" s="4" t="s">
        <v>38</v>
      </c>
      <c r="AB162" s="25" t="s">
        <v>643</v>
      </c>
    </row>
    <row r="163" hidden="1">
      <c r="A163" s="34" t="s">
        <v>456</v>
      </c>
      <c r="B163" s="4" t="s">
        <v>644</v>
      </c>
      <c r="C163" s="4"/>
      <c r="D163" s="4"/>
      <c r="E163" s="5"/>
      <c r="F163" s="4" t="s">
        <v>645</v>
      </c>
      <c r="G163" s="6" t="str">
        <f t="shared" si="1"/>
        <v>Link</v>
      </c>
      <c r="H163" s="3" t="s">
        <v>120</v>
      </c>
      <c r="I163" s="8" t="str">
        <f t="shared" si="2"/>
        <v>{"address_components":[{"short_name":"Ff Rd","types":["route"],"long_name":"Ff Road"},{"short_name":"Nye County","long_name":"Nye County","types":["administrative_area_level_2","political"]},{"long_name":"Nevada","short_name":"NV","types":["administrative_area_level_1","political"]},{"short_name":"US","types":["country","political"],"long_name":"United States"},{"types":["route"],"long_name":"Ff Road","short_name":"Ff Rd"},{"types":["administrative_area_level_2","political"],"long_name":"Nye County","short_name":"Nye County"},{"short_name":"NV","long_name":"Nevada","types":["administrative_area_level_1","political"]},{"long_name":"United States","short_name":"US","types":["country","political"]},{"types":["latitude"],"long_name":36.7991833,"short_name":36.7991833},{"types":["longitude"],"long_name":-115.9383406,"short_name":-115.9383406}],"distance_from":{"mi":{"flying":{"2116 4th Ave, Seattle, WA, 98121":815.2571861756994},"driving":{"2116 4th Ave, Seattle, WA, 98121":"GOOGLE_MAPS_ERROR_CACHED - No route found!"}}},"duration_from":{"days":{"driving":{"2116 4th Ave, Seattle, WA, 98121":"GOOGLE_MAPS_ERROR_CACHED - No route found!"}}}}</v>
      </c>
      <c r="J163" s="8" t="str">
        <f t="shared" si="3"/>
        <v>[{"short_name":"Ff Rd","types":["route"],"long_name":"Ff Road"},{"short_name":"Nye County","long_name":"Nye County","types":["administrative_area_level_2","political"]},{"long_name":"Nevada","short_name":"NV","types":["administrative_area_level_1","political"]},{"short_name":"US","types":["country","political"],"long_name":"United States"},{"types":["route"],"long_name":"Ff Road","short_name":"Ff Rd"},{"types":["administrative_area_level_2","political"],"long_name":"Nye County","short_name":"Nye County"},{"short_name":"NV","long_name":"Nevada","types":["administrative_area_level_1","political"]},{"long_name":"United States","short_name":"US","types":["country","political"]},{"types":["latitude"],"long_name":36.7991833,"short_name":36.7991833},{"types":["longitude"],"long_name":-115.9383406,"short_name":-115.9383406},{"types":["debug_info","cache_load_result"],"long_name":"hit","short_name":"hit"}]</v>
      </c>
      <c r="K163" s="9" t="b">
        <f t="shared" si="222"/>
        <v>1</v>
      </c>
      <c r="L163" s="8" t="b">
        <f t="shared" si="4"/>
        <v>0</v>
      </c>
      <c r="M163" s="10" t="b">
        <v>1</v>
      </c>
      <c r="N163" s="8">
        <f t="shared" si="223"/>
        <v>36.7991833</v>
      </c>
      <c r="O163" s="8">
        <f t="shared" si="224"/>
        <v>-115.9383406</v>
      </c>
      <c r="P163" s="8" t="str">
        <f t="shared" si="225"/>
        <v>UNDEFINED</v>
      </c>
      <c r="Q163" s="8" t="str">
        <f t="shared" si="226"/>
        <v>Nevada</v>
      </c>
      <c r="R163" s="8" t="str">
        <f t="shared" si="227"/>
        <v>UNDEFINED</v>
      </c>
      <c r="S163" s="8" t="str">
        <f t="shared" si="228"/>
        <v>United States</v>
      </c>
      <c r="T163" s="11" t="str">
        <f t="shared" si="229"/>
        <v>Not Driveable</v>
      </c>
      <c r="U163" s="12" t="str">
        <f t="shared" si="230"/>
        <v>Not Driveable</v>
      </c>
      <c r="V163" s="13">
        <f t="shared" si="231"/>
        <v>815.2571862</v>
      </c>
      <c r="X163" s="4" t="str">
        <f t="shared" si="5"/>
        <v>N/A</v>
      </c>
      <c r="Z163" s="4" t="s">
        <v>38</v>
      </c>
      <c r="AB163" s="14" t="s">
        <v>646</v>
      </c>
    </row>
    <row r="164" hidden="1">
      <c r="A164" s="34" t="s">
        <v>456</v>
      </c>
      <c r="B164" s="4" t="s">
        <v>647</v>
      </c>
      <c r="C164" s="4"/>
      <c r="D164" s="4"/>
      <c r="E164" s="5"/>
      <c r="F164" s="4" t="s">
        <v>648</v>
      </c>
      <c r="G164" s="6" t="str">
        <f t="shared" si="1"/>
        <v>Link</v>
      </c>
      <c r="H164" s="3" t="s">
        <v>120</v>
      </c>
      <c r="I164" s="8" t="str">
        <f t="shared" si="2"/>
        <v>{"address_components":[{"long_name":"Unnamed Road","short_name":"Unnamed Road","types":["route"]},{"types":["administrative_area_level_2","political"],"long_name":"Nye County","short_name":"Nye County"},{"types":["administrative_area_level_1","political"],"long_name":"Nevada","short_name":"NV"},{"types":["country","political"],"long_name":"United States","short_name":"US"},{"long_name":"85953X84+H3","short_name":"85953X84+H3","types":["plus_code"]},{"types":["latitude"],"long_name":37.0664022,"short_name":37.0664022},{"types":["longitude"],"long_name":-116.0447558,"short_name":-116.0447558}],"duration_from":{"days":{"driving":{"2116 4th Ave, Seattle, WA, 98121":"GOOGLE_MAPS_ERROR_CACHED - No route found!"}}},"distance_from":{"mi":{"flying":{"2116 4th Ave, Seattle, WA, 98121":795.9281444567339},"driving":{"2116 4th Ave, Seattle, WA, 98121":"GOOGLE_MAPS_ERROR_CACHED - No route found!"}}}}</v>
      </c>
      <c r="J164" s="8" t="str">
        <f t="shared" si="3"/>
        <v>[{"long_name":"Unnamed Road","short_name":"Unnamed Road","types":["route"]},{"types":["administrative_area_level_2","political"],"long_name":"Nye County","short_name":"Nye County"},{"types":["administrative_area_level_1","political"],"long_name":"Nevada","short_name":"NV"},{"types":["country","political"],"long_name":"United States","short_name":"US"},{"long_name":"85953X84+H3","short_name":"85953X84+H3","types":["plus_code"]},{"types":["latitude"],"long_name":37.0664022,"short_name":37.0664022},{"types":["longitude"],"long_name":-116.0447558,"short_name":-116.0447558},{"types":["debug_info","cache_load_result"],"long_name":"hit","short_name":"hit"}]</v>
      </c>
      <c r="K164" s="9" t="b">
        <f t="shared" si="222"/>
        <v>1</v>
      </c>
      <c r="L164" s="8" t="b">
        <f t="shared" si="4"/>
        <v>0</v>
      </c>
      <c r="M164" s="10" t="b">
        <v>1</v>
      </c>
      <c r="N164" s="8">
        <f t="shared" si="223"/>
        <v>37.0664022</v>
      </c>
      <c r="O164" s="8">
        <f t="shared" si="224"/>
        <v>-116.0447558</v>
      </c>
      <c r="P164" s="8" t="str">
        <f t="shared" si="225"/>
        <v>UNDEFINED</v>
      </c>
      <c r="Q164" s="8" t="str">
        <f t="shared" si="226"/>
        <v>Nevada</v>
      </c>
      <c r="R164" s="8" t="str">
        <f t="shared" si="227"/>
        <v>UNDEFINED</v>
      </c>
      <c r="S164" s="8" t="str">
        <f t="shared" si="228"/>
        <v>United States</v>
      </c>
      <c r="T164" s="11" t="str">
        <f t="shared" si="229"/>
        <v>Not Driveable</v>
      </c>
      <c r="U164" s="12" t="str">
        <f t="shared" si="230"/>
        <v>Not Driveable</v>
      </c>
      <c r="V164" s="13">
        <f t="shared" si="231"/>
        <v>795.9281445</v>
      </c>
      <c r="X164" s="4" t="str">
        <f t="shared" si="5"/>
        <v>N/A</v>
      </c>
      <c r="Z164" s="4" t="s">
        <v>38</v>
      </c>
    </row>
    <row r="165">
      <c r="A165" s="34" t="s">
        <v>456</v>
      </c>
      <c r="B165" s="4" t="s">
        <v>649</v>
      </c>
      <c r="C165" s="4"/>
      <c r="D165" s="4"/>
      <c r="E165" s="5"/>
      <c r="F165" s="4" t="s">
        <v>650</v>
      </c>
      <c r="G165" s="6" t="str">
        <f t="shared" si="1"/>
        <v>Link</v>
      </c>
      <c r="H165" s="3" t="s">
        <v>37</v>
      </c>
      <c r="I165" s="8" t="str">
        <f t="shared" si="2"/>
        <v>{"address_components":[{"short_name":"V45R+2W","types":["plus_code"],"long_name":"V45R+2W"},{"long_name":"Irlıganlı","short_name":"Irlıganlı","types":["administrative_area_level_4","political"]},{"short_name":"Pamukkale","types":["administrative_area_level_2","political"],"long_name":"Pamukkale"},{"long_name":"Denizli","short_name":"Denizli","types":["administrative_area_level_1","political"]},{"long_name":"Türkiye","short_name":"TR","types":["country","political"]},{"short_name":"20190","types":["postal_code"],"long_name":"20190"},{"long_name":"V45R+2W","short_name":"V45R+2W","types":["plus_code"]},{"short_name":"Irlıganlı","types":["administrative_area_level_4","political"],"long_name":"Irlıganlı"},{"long_name":"Pamukkale","short_name":"Pamukkale","types":["administrative_area_level_2","political"]},{"short_name":"Denizli","types":["administrative_area_level_1","political"],"long_name":"Denizli"},{"short_name":"TR","types":["country","political"],"long_name":"Türkiye"},{"short_name":"20190","types":["postal_code"],"long_name":"20190"},{"types":["latitude"],"long_name":37.8575573,"short_name":37.8575573},{"types":["longitude"],"long_name":29.1423445,"short_name":29.1423445}]}</v>
      </c>
      <c r="J165" s="8" t="str">
        <f t="shared" si="3"/>
        <v>[{"short_name":"V45R+2W","types":["plus_code"],"long_name":"V45R+2W"},{"long_name":"Irlıganlı","short_name":"Irlıganlı","types":["administrative_area_level_4","political"]},{"short_name":"Pamukkale","types":["administrative_area_level_2","political"],"long_name":"Pamukkale"},{"long_name":"Denizli","short_name":"Denizli","types":["administrative_area_level_1","political"]},{"long_name":"Türkiye","short_name":"TR","types":["country","political"]},{"short_name":"20190","types":["postal_code"],"long_name":"20190"},{"long_name":"V45R+2W","short_name":"V45R+2W","types":["plus_code"]},{"short_name":"Irlıganlı","types":["administrative_area_level_4","political"],"long_name":"Irlıganlı"},{"long_name":"Pamukkale","short_name":"Pamukkale","types":["administrative_area_level_2","political"]},{"short_name":"Denizli","types":["administrative_area_level_1","political"],"long_name":"Denizli"},{"short_name":"TR","types":["country","political"],"long_name":"Türkiye"},{"short_name":"20190","types":["postal_code"],"long_name":"20190"},{"types":["latitude"],"long_name":37.8575573,"short_name":37.8575573},{"types":["longitude"],"long_name":29.1423445,"short_name":29.1423445},{"types":["debug_info","cache_load_result"],"long_name":"hit","short_name":"hit"}]</v>
      </c>
      <c r="K165" s="9" t="b">
        <f>NOT(AND(NOT(_xlfn.ISFORMULA(P165)),AND(NOT(_xlfn.ISFORMULA(Q165)),AND(NOT(_xlfn.ISFORMULA(R165)),AND(NOT(_xlfn.ISFORMULA(S165)),AND(NOT(_xlfn.ISFORMULA(T165)),AND(NOT(_xlfn.ISFORMULA(U165)),AND(NOT(_xlfn.ISFORMULA(V165)),AND(NOT(_xlfn.ISFORMULA(N165)),NOT(_xlfn.ISFORMULA(O165)))))))))))</f>
        <v>0</v>
      </c>
      <c r="L165" s="8" t="b">
        <f t="shared" si="4"/>
        <v>0</v>
      </c>
      <c r="M165" s="10" t="b">
        <v>1</v>
      </c>
      <c r="N165" s="10">
        <v>38.963745</v>
      </c>
      <c r="O165" s="10">
        <v>35.243322</v>
      </c>
      <c r="P165" s="10" t="s">
        <v>55</v>
      </c>
      <c r="Q165" s="10" t="s">
        <v>651</v>
      </c>
      <c r="R165" s="10" t="s">
        <v>55</v>
      </c>
      <c r="S165" s="10" t="s">
        <v>652</v>
      </c>
      <c r="T165" s="19" t="s">
        <v>56</v>
      </c>
      <c r="U165" s="20" t="s">
        <v>56</v>
      </c>
      <c r="V165" s="18">
        <v>6297.94</v>
      </c>
      <c r="W165" s="4"/>
      <c r="X165" s="4" t="str">
        <f t="shared" si="5"/>
        <v>N/A</v>
      </c>
      <c r="Y165" s="4"/>
      <c r="Z165" s="4" t="s">
        <v>38</v>
      </c>
    </row>
    <row r="166" hidden="1">
      <c r="A166" s="34" t="s">
        <v>456</v>
      </c>
      <c r="B166" s="4" t="s">
        <v>653</v>
      </c>
      <c r="C166" s="4"/>
      <c r="D166" s="4"/>
      <c r="E166" s="5"/>
      <c r="F166" s="4" t="s">
        <v>654</v>
      </c>
      <c r="G166" s="6" t="str">
        <f t="shared" si="1"/>
        <v>Link</v>
      </c>
      <c r="H166" s="3" t="s">
        <v>120</v>
      </c>
      <c r="I166" s="8" t="str">
        <f t="shared" si="2"/>
        <v>{"duration_from":{"days":{"driving":{"2116 4th Ave, Seattle, WA, 98121":"GOOGLE_MAPS_ERROR_CACHED - No route found!"}}},"address_components":[{"long_name":"Bengtskär","short_name":"Bengtskär","types":["establishment","natural_feature"]},{"short_name":"Kimitoön","long_name":"Kimitoön","types":["administrative_area_level_3","political"]},{"short_name":"Åboland-Turunmaa","long_name":"Åboland-Turunmaa","types":["administrative_area_level_2","political"]},{"long_name":"Southwest Finland","types":["administrative_area_level_1","political"],"short_name":"Southwest Finland"},{"types":["country","political"],"long_name":"Finland","short_name":"FI"},{"long_name":"Bengtskär","short_name":"","types":[]},{"long_name":"Finland","types":["country","political"],"short_name":"FI"},{"long_name":"Kimitoön","short_name":"Kimitoön","types":["administrative_area_level_3","political"]},{"types":["administrative_area_level_2","political"],"long_name":"Åboland-Turunmaa","short_name":"Åboland-Turunmaa"},{"long_name":"Egentliga Finland","types":["administrative_area_level_1","political"],"short_name":"Egentliga Finland"},{"short_name":"25950","types":["postal_code"],"long_name":"25950"},{"types":["latitude"],"long_name":59.72316919999999,"short_name":59.72316919999999},{"types":["longitude"],"long_name":22.4991505,"short_name":22.4991505}],"distance_from":{"mi":{"flying":{"2116 4th Ave, Seattle, WA, 98121":4760.4875290491755},"driving":{"2116 4th Ave, Seattle, WA, 98121":"GOOGLE_MAPS_ERROR_CACHED - No route found!"}}}}</v>
      </c>
      <c r="J166" s="8" t="str">
        <f t="shared" si="3"/>
        <v>[{"long_name":"Bengtskär","short_name":"Bengtskär","types":["establishment","natural_feature"]},{"short_name":"Kimitoön","long_name":"Kimitoön","types":["administrative_area_level_3","political"]},{"short_name":"Åboland-Turunmaa","long_name":"Åboland-Turunmaa","types":["administrative_area_level_2","political"]},{"long_name":"Southwest Finland","types":["administrative_area_level_1","political"],"short_name":"Southwest Finland"},{"types":["country","political"],"long_name":"Finland","short_name":"FI"},{"long_name":"Bengtskär","short_name":"","types":[]},{"long_name":"Finland","types":["country","political"],"short_name":"FI"},{"long_name":"Kimitoön","short_name":"Kimitoön","types":["administrative_area_level_3","political"]},{"types":["administrative_area_level_2","political"],"long_name":"Åboland-Turunmaa","short_name":"Åboland-Turunmaa"},{"long_name":"Egentliga Finland","types":["administrative_area_level_1","political"],"short_name":"Egentliga Finland"},{"short_name":"25950","types":["postal_code"],"long_name":"25950"},{"types":["latitude"],"long_name":59.72316919999999,"short_name":59.72316919999999},{"types":["longitude"],"long_name":22.4991505,"short_name":22.4991505},{"types":["debug_info","cache_load_result"],"long_name":"hit","short_name":"hit"}]</v>
      </c>
      <c r="K166" s="9" t="b">
        <f t="shared" ref="K166:K167" si="232">NOT(AND(NOT(_xlfn.ISFORMULA(P166)),AND(NOT(_xlfn.ISFORMULA(Q166)),AND(NOT(_xlfn.ISFORMULA(R166)),AND(NOT(_xlfn.ISFORMULA(S166)),AND(NOT(_xlfn.ISFORMULA(T166)),AND(NOT(_xlfn.ISFORMULA(U166)),AND(NOT(_xlfn.ISFORMULA(V166))))))))))</f>
        <v>1</v>
      </c>
      <c r="L166" s="8" t="b">
        <f t="shared" si="4"/>
        <v>0</v>
      </c>
      <c r="M166" s="10" t="b">
        <v>1</v>
      </c>
      <c r="N166" s="8">
        <f t="shared" ref="N166:N167" si="233">GOOGLEMAPS_GET_ADDRESS_LATITUDE(F166,true)</f>
        <v>59.7231692</v>
      </c>
      <c r="O166" s="8">
        <f t="shared" ref="O166:O167" si="234">GOOGLEMAPS_GET_ADDRESS_LONGITUDE(F166,true)</f>
        <v>22.4991505</v>
      </c>
      <c r="P166" s="8" t="str">
        <f t="shared" ref="P166:P167" si="235">GOOGLEMAPS_GET_ADDRESS_CITY(F166,true,false)</f>
        <v>Norr på land</v>
      </c>
      <c r="Q166" s="8" t="str">
        <f t="shared" ref="Q166:Q167" si="236">GOOGLEMAPS_GET_ADDRESS_STATE(F166,true,false)</f>
        <v>Southwest Finland</v>
      </c>
      <c r="R166" s="8" t="str">
        <f t="shared" ref="R166:R167" si="237">GOOGLEMAPS_GET_ADDRESS_POSTAL_CODE(F166,false,false)</f>
        <v>25950</v>
      </c>
      <c r="S166" s="8" t="str">
        <f t="shared" ref="S166:S167" si="238">GOOGLEMAPS_GET_ADDRESS_COUNTRY(F166,true,false)</f>
        <v>Finland</v>
      </c>
      <c r="T166" s="11" t="str">
        <f t="shared" ref="T166:T167" si="239">IFERROR(GOOGLEMAPS_DISTANCE("2116 4th Ave, Seattle, WA, 98121", F166, "driving")+0,"Not Driveable")</f>
        <v>Not Driveable</v>
      </c>
      <c r="U166" s="12" t="str">
        <f t="shared" ref="U166:U167" si="240">iferror(GOOGLEMAPS_DURATION("2116 4th Ave, Seattle, WA, 98121", F166, "driving")+0,"Not Driveable")</f>
        <v>Not Driveable</v>
      </c>
      <c r="V166" s="13">
        <f t="shared" ref="V166:V167" si="241">GOOGLEMAPS_DISTANCE("2116 4th Ave, Seattle, WA, 98121", F166, "flying")+0</f>
        <v>4760.487529</v>
      </c>
      <c r="X166" s="4" t="str">
        <f t="shared" si="5"/>
        <v>N/A</v>
      </c>
      <c r="Y166" s="4"/>
      <c r="Z166" s="4" t="s">
        <v>38</v>
      </c>
    </row>
    <row r="167">
      <c r="A167" s="3" t="s">
        <v>456</v>
      </c>
      <c r="B167" s="4" t="s">
        <v>655</v>
      </c>
      <c r="C167" s="4" t="s">
        <v>656</v>
      </c>
      <c r="D167" s="4"/>
      <c r="E167" s="5"/>
      <c r="F167" s="4" t="s">
        <v>655</v>
      </c>
      <c r="G167" s="6" t="str">
        <f t="shared" si="1"/>
        <v>Link</v>
      </c>
      <c r="H167" s="3" t="s">
        <v>45</v>
      </c>
      <c r="I167" s="8" t="str">
        <f t="shared" si="2"/>
        <v>{"distance_from":{"mi":{"flying":{"2116 4th Ave, Seattle, WA, 98121":6297.930828786956},"driving":{"2116 4th Ave, Seattle, WA, 98121":"GOOGLE_MAPS_ERROR_CACHED - No route found!"}}},"address_components":[{"short_name":"TR","types":["country","political"],"long_name":"Türkiye"},{"types":["plus_code"],"short_name":"8GCQX67V+F8","long_name":"8GCQX67V+F8"},{"types":["latitude"],"long_name":38.963745,"short_name":38.963745},{"types":["longitude"],"long_name":35.243322,"short_name":35.243322}],"duration_from":{"days":{"driving":{"2116 4th Ave, Seattle, WA, 98121":"GOOGLE_MAPS_ERROR_CACHED - No route found!"}}}}</v>
      </c>
      <c r="J167" s="8" t="str">
        <f t="shared" si="3"/>
        <v>[{"short_name":"TR","types":["country","political"],"long_name":"Türkiye"},{"types":["plus_code"],"short_name":"8GCQX67V+F8","long_name":"8GCQX67V+F8"},{"types":["latitude"],"long_name":38.963745,"short_name":38.963745},{"types":["longitude"],"long_name":35.243322,"short_name":35.243322},{"types":["debug_info","cache_load_result"],"long_name":"hit","short_name":"hit"}]</v>
      </c>
      <c r="K167" s="9" t="b">
        <f t="shared" si="232"/>
        <v>1</v>
      </c>
      <c r="L167" s="8" t="b">
        <f t="shared" si="4"/>
        <v>0</v>
      </c>
      <c r="M167" s="10" t="b">
        <v>1</v>
      </c>
      <c r="N167" s="8">
        <f t="shared" si="233"/>
        <v>38.963745</v>
      </c>
      <c r="O167" s="8">
        <f t="shared" si="234"/>
        <v>35.243322</v>
      </c>
      <c r="P167" s="8" t="str">
        <f t="shared" si="235"/>
        <v>UNDEFINED</v>
      </c>
      <c r="Q167" s="8" t="str">
        <f t="shared" si="236"/>
        <v>UNDEFINED</v>
      </c>
      <c r="R167" s="8" t="str">
        <f t="shared" si="237"/>
        <v>UNDEFINED</v>
      </c>
      <c r="S167" s="8" t="str">
        <f t="shared" si="238"/>
        <v>Türkiye</v>
      </c>
      <c r="T167" s="11" t="str">
        <f t="shared" si="239"/>
        <v>Not Driveable</v>
      </c>
      <c r="U167" s="12" t="str">
        <f t="shared" si="240"/>
        <v>Not Driveable</v>
      </c>
      <c r="V167" s="13">
        <f t="shared" si="241"/>
        <v>6297.930829</v>
      </c>
      <c r="X167" s="4" t="str">
        <f t="shared" si="5"/>
        <v>N/A</v>
      </c>
      <c r="Y167" s="4"/>
      <c r="Z167" s="4" t="s">
        <v>38</v>
      </c>
      <c r="AF167" s="4" t="s">
        <v>657</v>
      </c>
    </row>
    <row r="168" hidden="1">
      <c r="A168" s="34" t="s">
        <v>456</v>
      </c>
      <c r="B168" s="4" t="s">
        <v>658</v>
      </c>
      <c r="C168" s="4"/>
      <c r="D168" s="4"/>
      <c r="E168" s="5"/>
      <c r="F168" s="4" t="s">
        <v>658</v>
      </c>
      <c r="G168" s="6" t="str">
        <f t="shared" si="1"/>
        <v>Link</v>
      </c>
      <c r="H168" s="3" t="s">
        <v>37</v>
      </c>
      <c r="I168" s="8" t="str">
        <f t="shared" si="2"/>
        <v>{"address_components":[{"long_name":"White Sands National Park","types":["establishment","park","point_of_interest","tourist_attraction"],"short_name":"White Sands National Park"},{"long_name":"New Mexico","types":["administrative_area_level_1","political"],"short_name":"NM"},{"short_name":"US","long_name":"United States","types":["country","political"]},{"long_name":"854MQMPF+VP","short_name":"854MQMPF+VP","types":["plus_code"]},{"types":["latitude"],"long_name":32.7872403,"short_name":32.7872403},{"types":["longitude"],"long_name":-106.3256816,"short_name":-106.3256816}]}</v>
      </c>
      <c r="J168" s="8" t="str">
        <f t="shared" si="3"/>
        <v>[{"long_name":"White Sands National Park","types":["establishment","park","point_of_interest","tourist_attraction"],"short_name":"White Sands National Park"},{"long_name":"New Mexico","types":["administrative_area_level_1","political"],"short_name":"NM"},{"short_name":"US","long_name":"United States","types":["country","political"]},{"long_name":"854MQMPF+VP","short_name":"854MQMPF+VP","types":["plus_code"]},{"types":["latitude"],"long_name":32.7872403,"short_name":32.7872403},{"types":["longitude"],"long_name":-106.3256816,"short_name":-106.3256816},{"types":["debug_info","cache_load_result"],"long_name":"hit","short_name":"hit"}]</v>
      </c>
      <c r="K168" s="9" t="b">
        <f t="shared" ref="K168:K169" si="242">NOT(AND(NOT(_xlfn.ISFORMULA(P168)),AND(NOT(_xlfn.ISFORMULA(Q168)),AND(NOT(_xlfn.ISFORMULA(R168)),AND(NOT(_xlfn.ISFORMULA(S168)),AND(NOT(_xlfn.ISFORMULA(T168)),AND(NOT(_xlfn.ISFORMULA(U168)),AND(NOT(_xlfn.ISFORMULA(V168)),AND(NOT(_xlfn.ISFORMULA(N168)),NOT(_xlfn.ISFORMULA(O168)))))))))))</f>
        <v>0</v>
      </c>
      <c r="L168" s="8" t="b">
        <f t="shared" si="4"/>
        <v>0</v>
      </c>
      <c r="M168" s="10" t="b">
        <v>1</v>
      </c>
      <c r="N168" s="10">
        <v>32.7872403</v>
      </c>
      <c r="O168" s="10">
        <v>-106.3256816</v>
      </c>
      <c r="P168" s="10" t="s">
        <v>55</v>
      </c>
      <c r="Q168" s="10" t="s">
        <v>122</v>
      </c>
      <c r="R168" s="10" t="s">
        <v>55</v>
      </c>
      <c r="S168" s="10" t="s">
        <v>47</v>
      </c>
      <c r="T168" s="19">
        <v>1649.9</v>
      </c>
      <c r="U168" s="32">
        <v>1.067060185185185</v>
      </c>
      <c r="V168" s="18">
        <v>1322.63</v>
      </c>
      <c r="W168" s="4"/>
      <c r="X168" s="4" t="str">
        <f t="shared" si="5"/>
        <v>N/A</v>
      </c>
      <c r="Y168" s="4"/>
      <c r="Z168" s="4" t="s">
        <v>38</v>
      </c>
    </row>
    <row r="169">
      <c r="A169" s="3" t="s">
        <v>456</v>
      </c>
      <c r="B169" s="4" t="s">
        <v>659</v>
      </c>
      <c r="C169" s="4"/>
      <c r="D169" s="4"/>
      <c r="E169" s="5"/>
      <c r="F169" s="4" t="s">
        <v>659</v>
      </c>
      <c r="G169" s="6" t="str">
        <f t="shared" si="1"/>
        <v>Link</v>
      </c>
      <c r="H169" s="3" t="s">
        <v>45</v>
      </c>
      <c r="I169" s="8" t="str">
        <f t="shared" si="2"/>
        <v>{"address_components":[{"short_name":"Kayaköy","long_name":"Kayaköy","types":["locality","political"]},{"long_name":"Kayaköy","types":["administrative_area_level_4","political"],"short_name":"Kayaköy"},{"short_name":"Fethiye","long_name":"Fethiye","types":["administrative_area_level_2","political"]},{"short_name":"Muğla","long_name":"Muğla","types":["administrative_area_level_1","political"]},{"long_name":"Türkiye","types":["country","political"],"short_name":"TR"},{"short_name":"48300","long_name":"48300","types":["postal_code"]},{"short_name":"H3GR+25","long_name":"H3GR+25","types":["plus_code"]},{"short_name":"Kayaköy","long_name":"Kayaköy","types":["administrative_area_level_4","political"]},{"long_name":"Fethiye","types":["administrative_area_level_2","political"],"short_name":"Fethiye"},{"short_name":"Muğla","long_name":"Muğla","types":["administrative_area_level_1","political"]},{"short_name":"TR","long_name":"Türkiye","types":["country","political"]},{"long_name":"48300","types":["postal_code"],"short_name":"48300"},{"types":["latitude"],"long_name":36.574983,"short_name":36.574983},{"types":["longitude"],"long_name":29.091094,"short_name":29.091094}]}</v>
      </c>
      <c r="J169" s="8" t="str">
        <f t="shared" si="3"/>
        <v>[{"short_name":"Kayaköy","long_name":"Kayaköy","types":["locality","political"]},{"long_name":"Kayaköy","types":["administrative_area_level_4","political"],"short_name":"Kayaköy"},{"short_name":"Fethiye","long_name":"Fethiye","types":["administrative_area_level_2","political"]},{"short_name":"Muğla","long_name":"Muğla","types":["administrative_area_level_1","political"]},{"long_name":"Türkiye","types":["country","political"],"short_name":"TR"},{"short_name":"48300","long_name":"48300","types":["postal_code"]},{"short_name":"H3GR+25","long_name":"H3GR+25","types":["plus_code"]},{"short_name":"Kayaköy","long_name":"Kayaköy","types":["administrative_area_level_4","political"]},{"long_name":"Fethiye","types":["administrative_area_level_2","political"],"short_name":"Fethiye"},{"short_name":"Muğla","long_name":"Muğla","types":["administrative_area_level_1","political"]},{"short_name":"TR","long_name":"Türkiye","types":["country","political"]},{"long_name":"48300","types":["postal_code"],"short_name":"48300"},{"types":["latitude"],"long_name":36.574983,"short_name":36.574983},{"types":["longitude"],"long_name":29.091094,"short_name":29.091094},{"types":["debug_info","cache_load_result"],"long_name":"hit","short_name":"hit"}]</v>
      </c>
      <c r="K169" s="9" t="b">
        <f t="shared" si="242"/>
        <v>0</v>
      </c>
      <c r="L169" s="8" t="b">
        <f t="shared" si="4"/>
        <v>1</v>
      </c>
      <c r="M169" s="15" t="b">
        <v>1</v>
      </c>
      <c r="N169" s="10">
        <v>36.574983</v>
      </c>
      <c r="O169" s="10">
        <v>29.091094</v>
      </c>
      <c r="P169" s="10" t="s">
        <v>660</v>
      </c>
      <c r="Q169" s="10" t="s">
        <v>661</v>
      </c>
      <c r="R169" s="10">
        <v>48300.0</v>
      </c>
      <c r="S169" s="10" t="s">
        <v>652</v>
      </c>
      <c r="T169" s="19" t="s">
        <v>56</v>
      </c>
      <c r="U169" s="20" t="s">
        <v>56</v>
      </c>
      <c r="V169" s="18">
        <v>6358.33</v>
      </c>
      <c r="X169" s="4" t="str">
        <f t="shared" si="5"/>
        <v>N/A</v>
      </c>
      <c r="Y169" s="4"/>
      <c r="Z169" s="4" t="s">
        <v>38</v>
      </c>
      <c r="AF169" s="4" t="s">
        <v>662</v>
      </c>
    </row>
    <row r="170">
      <c r="A170" s="3" t="s">
        <v>456</v>
      </c>
      <c r="B170" s="4" t="s">
        <v>663</v>
      </c>
      <c r="C170" s="4" t="s">
        <v>664</v>
      </c>
      <c r="D170" s="4"/>
      <c r="E170" s="5"/>
      <c r="F170" s="4" t="s">
        <v>663</v>
      </c>
      <c r="G170" s="6" t="str">
        <f t="shared" si="1"/>
        <v>Link</v>
      </c>
      <c r="H170" s="3" t="s">
        <v>45</v>
      </c>
      <c r="I170" s="8" t="str">
        <f t="shared" si="2"/>
        <v>{"distance_from":{"mi":{"driving":{"2116 4th Ave, Seattle, WA, 98121":"GOOGLE_MAPS_ERROR_CACHED - No route found!"},"flying":{"2116 4th Ave, Seattle, WA, 98121":6377.565958715995}}},"address_components":[{"short_name":"Spinalonga","types":["establishment","natural_feature"],"long_name":"Spinalonga"},{"types":["country","political"],"short_name":"GR","long_name":"Greece"},{"long_name":"7PXP+HX","short_name":"7PXP+HX","types":["plus_code"]},{"long_name":"Agios Nikolaos","short_name":"Agios Nikolaos","types":["administrative_area_level_5","political"]},{"long_name":"Lasithi","types":["administrative_area_level_3","political"],"short_name":"Lasithi"},{"types":["country","political"],"short_name":"GR","long_name":"Greece"},{"types":["latitude"],"long_name":35.2978688,"short_name":35.2978688},{"types":["longitude"],"long_name":25.7379186,"short_name":25.7379186}],"duration_from":{"days":{"driving":{"2116 4th Ave, Seattle, WA, 98121":"GOOGLE_MAPS_ERROR_CACHED - No route found!"}}}}</v>
      </c>
      <c r="J170" s="8" t="str">
        <f t="shared" si="3"/>
        <v>[{"short_name":"Spinalonga","types":["establishment","natural_feature"],"long_name":"Spinalonga"},{"types":["country","political"],"short_name":"GR","long_name":"Greece"},{"long_name":"7PXP+HX","short_name":"7PXP+HX","types":["plus_code"]},{"long_name":"Agios Nikolaos","short_name":"Agios Nikolaos","types":["administrative_area_level_5","political"]},{"long_name":"Lasithi","types":["administrative_area_level_3","political"],"short_name":"Lasithi"},{"types":["country","political"],"short_name":"GR","long_name":"Greece"},{"types":["latitude"],"long_name":35.2978688,"short_name":35.2978688},{"types":["longitude"],"long_name":25.7379186,"short_name":25.7379186},{"types":["debug_info","cache_load_result"],"long_name":"hit","short_name":"hit"}]</v>
      </c>
      <c r="K170" s="9" t="b">
        <f>NOT(AND(NOT(_xlfn.ISFORMULA(P170)),AND(NOT(_xlfn.ISFORMULA(Q170)),AND(NOT(_xlfn.ISFORMULA(R170)),AND(NOT(_xlfn.ISFORMULA(S170)),AND(NOT(_xlfn.ISFORMULA(T170)),AND(NOT(_xlfn.ISFORMULA(U170)),AND(NOT(_xlfn.ISFORMULA(V170))))))))))</f>
        <v>1</v>
      </c>
      <c r="L170" s="8" t="b">
        <f t="shared" si="4"/>
        <v>0</v>
      </c>
      <c r="M170" s="10" t="b">
        <v>1</v>
      </c>
      <c r="N170" s="8">
        <f>GOOGLEMAPS_GET_ADDRESS_LATITUDE(F170,true)</f>
        <v>35.2978688</v>
      </c>
      <c r="O170" s="8">
        <f>GOOGLEMAPS_GET_ADDRESS_LONGITUDE(F170,true)</f>
        <v>25.7379186</v>
      </c>
      <c r="P170" s="8" t="str">
        <f>GOOGLEMAPS_GET_ADDRESS_CITY(F170,true,false)</f>
        <v>UNDEFINED</v>
      </c>
      <c r="Q170" s="8" t="str">
        <f>GOOGLEMAPS_GET_ADDRESS_STATE(F170,true,false)</f>
        <v>UNDEFINED</v>
      </c>
      <c r="R170" s="8" t="str">
        <f>GOOGLEMAPS_GET_ADDRESS_POSTAL_CODE(F170,false,false)</f>
        <v>UNDEFINED</v>
      </c>
      <c r="S170" s="8" t="str">
        <f>GOOGLEMAPS_GET_ADDRESS_COUNTRY(F170,true,false)</f>
        <v>Greece</v>
      </c>
      <c r="T170" s="11" t="str">
        <f>IFERROR(GOOGLEMAPS_DISTANCE("2116 4th Ave, Seattle, WA, 98121", F170, "driving")+0,"Not Driveable")</f>
        <v>Not Driveable</v>
      </c>
      <c r="U170" s="12" t="str">
        <f>iferror(GOOGLEMAPS_DURATION("2116 4th Ave, Seattle, WA, 98121", F170, "driving")+0,"Not Driveable")</f>
        <v>Not Driveable</v>
      </c>
      <c r="V170" s="13">
        <f>GOOGLEMAPS_DISTANCE("2116 4th Ave, Seattle, WA, 98121", F170, "flying")+0</f>
        <v>6377.565959</v>
      </c>
      <c r="X170" s="4" t="str">
        <f t="shared" si="5"/>
        <v>N/A</v>
      </c>
      <c r="Y170" s="4"/>
      <c r="Z170" s="4" t="s">
        <v>38</v>
      </c>
      <c r="AF170" s="4" t="s">
        <v>665</v>
      </c>
    </row>
    <row r="171">
      <c r="A171" s="34" t="s">
        <v>456</v>
      </c>
      <c r="B171" s="4" t="s">
        <v>666</v>
      </c>
      <c r="C171" s="4"/>
      <c r="D171" s="4"/>
      <c r="E171" s="5"/>
      <c r="F171" s="4" t="s">
        <v>666</v>
      </c>
      <c r="G171" s="6" t="str">
        <f t="shared" si="1"/>
        <v>Link</v>
      </c>
      <c r="H171" s="3" t="s">
        <v>45</v>
      </c>
      <c r="I171" s="8" t="str">
        <f t="shared" si="2"/>
        <v>{"address_components":[{"long_name":"Ashgabat","short_name":"Ashgabat","types":["locality","political"]},{"long_name":"Ashgabat","short_name":"Ashgabat","types":["administrative_area_level_1","political"]},{"long_name":"Turkmenistan","short_name":"TM","types":["country","political"]},{"long_name":"22","short_name":"22","types":["street_number"]},{"long_name":"N. Andalyp J","short_name":"N. Andalyp J","types":["route"]},{"long_name":"Köşi","short_name":"Köşi","types":["political","sublocality","sublocality_level_1"]},{"long_name":"Aşgabat","short_name":"Aşgabat","types":["locality","political"]},{"long_name":"Aşgabat","short_name":"Aşgabat","types":["administrative_area_level_1","political"]},{"long_name":"Turkmenistan","short_name":"TM","types":["country","political"]},{"types":["latitude"],"long_name":37.9600766,"short_name":37.9600766},{"types":["longitude"],"long_name":58.32606289999999,"short_name":58.32606289999999}]}</v>
      </c>
      <c r="J171" s="8" t="str">
        <f t="shared" si="3"/>
        <v>[{"long_name":"Ashgabat","short_name":"Ashgabat","types":["locality","political"]},{"long_name":"Ashgabat","short_name":"Ashgabat","types":["administrative_area_level_1","political"]},{"long_name":"Turkmenistan","short_name":"TM","types":["country","political"]},{"long_name":"22","short_name":"22","types":["street_number"]},{"long_name":"N. Andalyp J","short_name":"N. Andalyp J","types":["route"]},{"long_name":"Köşi","short_name":"Köşi","types":["political","sublocality","sublocality_level_1"]},{"long_name":"Aşgabat","short_name":"Aşgabat","types":["locality","political"]},{"long_name":"Aşgabat","short_name":"Aşgabat","types":["administrative_area_level_1","political"]},{"long_name":"Turkmenistan","short_name":"TM","types":["country","political"]},{"types":["latitude"],"long_name":37.9600766,"short_name":37.9600766},{"types":["longitude"],"long_name":58.32606289999999,"short_name":58.32606289999999},{"types":["debug_info","cache_load_result"],"long_name":"hit","short_name":"hit"}]</v>
      </c>
      <c r="K171" s="9" t="b">
        <f t="shared" ref="K171:K173" si="243">NOT(AND(NOT(_xlfn.ISFORMULA(P171)),AND(NOT(_xlfn.ISFORMULA(Q171)),AND(NOT(_xlfn.ISFORMULA(R171)),AND(NOT(_xlfn.ISFORMULA(S171)),AND(NOT(_xlfn.ISFORMULA(T171)),AND(NOT(_xlfn.ISFORMULA(U171)),AND(NOT(_xlfn.ISFORMULA(V171)),AND(NOT(_xlfn.ISFORMULA(N171)),NOT(_xlfn.ISFORMULA(O171)))))))))))</f>
        <v>0</v>
      </c>
      <c r="L171" s="8" t="b">
        <f t="shared" si="4"/>
        <v>1</v>
      </c>
      <c r="M171" s="10" t="b">
        <v>1</v>
      </c>
      <c r="N171" s="10">
        <v>37.9600766</v>
      </c>
      <c r="O171" s="10">
        <v>58.3260629</v>
      </c>
      <c r="P171" s="10" t="s">
        <v>667</v>
      </c>
      <c r="Q171" s="10" t="s">
        <v>667</v>
      </c>
      <c r="R171" s="10" t="s">
        <v>55</v>
      </c>
      <c r="S171" s="10" t="s">
        <v>668</v>
      </c>
      <c r="T171" s="19" t="s">
        <v>56</v>
      </c>
      <c r="U171" s="20" t="s">
        <v>56</v>
      </c>
      <c r="V171" s="18">
        <v>6524.06</v>
      </c>
      <c r="W171" s="4"/>
      <c r="X171" s="4" t="str">
        <f t="shared" si="5"/>
        <v>N/A</v>
      </c>
      <c r="Y171" s="4"/>
      <c r="Z171" s="4" t="s">
        <v>38</v>
      </c>
      <c r="AA171" s="4"/>
      <c r="AB171" s="14" t="s">
        <v>103</v>
      </c>
    </row>
    <row r="172">
      <c r="A172" s="3" t="s">
        <v>456</v>
      </c>
      <c r="B172" s="4" t="s">
        <v>669</v>
      </c>
      <c r="C172" s="4" t="s">
        <v>670</v>
      </c>
      <c r="D172" s="4" t="s">
        <v>671</v>
      </c>
      <c r="E172" s="3" t="s">
        <v>81</v>
      </c>
      <c r="F172" s="4" t="s">
        <v>669</v>
      </c>
      <c r="G172" s="6" t="str">
        <f t="shared" si="1"/>
        <v>Link</v>
      </c>
      <c r="H172" s="5"/>
      <c r="I172" s="7" t="str">
        <f t="shared" si="2"/>
        <v>{"address_components":[{"short_name":"Heart Reef","long_name":"Heart Reef","types":["establishment","natural_feature"]},{"long_name":"Australia","types":["country","political"],"short_name":"AU"},{"types":["plus_code"],"long_name":"5RCJ4M45+FH","short_name":"5RCJ4M45+FH"},{"types":["latitude"],"long_name":-21.89377764904847,"short_name":-21.89377764904847},{"types":["longitude"],"long_name":152.658919194448,"short_name":152.658919194448}]}</v>
      </c>
      <c r="J172" s="8" t="str">
        <f t="shared" si="3"/>
        <v>[{"short_name":"Heart Reef","long_name":"Heart Reef","types":["establishment","natural_feature"]},{"long_name":"Australia","types":["country","political"],"short_name":"AU"},{"types":["plus_code"],"long_name":"5RCJ4M45+FH","short_name":"5RCJ4M45+FH"},{"types":["latitude"],"long_name":-21.89377764904847,"short_name":-21.89377764904847},{"types":["longitude"],"long_name":152.658919194448,"short_name":152.658919194448},{"types":["debug_info","cache_load_result"],"long_name":"hit","short_name":"hit"}]</v>
      </c>
      <c r="K172" s="9" t="b">
        <f t="shared" si="243"/>
        <v>0</v>
      </c>
      <c r="L172" s="8" t="b">
        <f t="shared" si="4"/>
        <v>0</v>
      </c>
      <c r="M172" s="10" t="b">
        <v>1</v>
      </c>
      <c r="N172" s="10">
        <v>-21.89377765</v>
      </c>
      <c r="O172" s="10">
        <v>152.6589192</v>
      </c>
      <c r="P172" s="10" t="s">
        <v>55</v>
      </c>
      <c r="Q172" s="10" t="s">
        <v>55</v>
      </c>
      <c r="R172" s="10" t="s">
        <v>55</v>
      </c>
      <c r="S172" s="10" t="s">
        <v>672</v>
      </c>
      <c r="T172" s="19" t="s">
        <v>56</v>
      </c>
      <c r="U172" s="20" t="s">
        <v>56</v>
      </c>
      <c r="V172" s="18">
        <v>7100.18</v>
      </c>
      <c r="X172" s="4" t="str">
        <f t="shared" si="5"/>
        <v>N/A</v>
      </c>
      <c r="Y172" s="4"/>
      <c r="Z172" s="4" t="s">
        <v>38</v>
      </c>
      <c r="AB172" s="14" t="s">
        <v>69</v>
      </c>
    </row>
    <row r="173">
      <c r="A173" s="3" t="s">
        <v>456</v>
      </c>
      <c r="B173" s="4" t="s">
        <v>673</v>
      </c>
      <c r="C173" s="37" t="s">
        <v>674</v>
      </c>
      <c r="D173" s="4" t="s">
        <v>675</v>
      </c>
      <c r="E173" s="3" t="s">
        <v>43</v>
      </c>
      <c r="F173" s="4" t="s">
        <v>673</v>
      </c>
      <c r="G173" s="6" t="str">
        <f t="shared" si="1"/>
        <v>Link</v>
      </c>
      <c r="H173" s="3" t="s">
        <v>331</v>
      </c>
      <c r="I173" s="7" t="str">
        <f t="shared" si="2"/>
        <v>{"address_components":[{"short_name":"Rajgarh Tehsil","types":["route"],"long_name":"Rajgarh Tehsil"},{"short_name":"Bhangarh","types":["locality","political"],"long_name":"Bhangarh"},{"long_name":"Alwar","short_name":"Alwar","types":["administrative_area_level_3","political"]},{"short_name":"Jaipur Division","types":["administrative_area_level_2","political"],"long_name":"Jaipur Division"},{"long_name":"Rajasthan","short_name":"RJ","types":["administrative_area_level_1","political"]},{"short_name":"IN","types":["country","political"],"long_name":"India"},{"short_name":"301410","types":["postal_code"],"long_name":"301410"},{"short_name":"Bhangarh Ruin","types":["premise"],"long_name":"Bhangarh Ruin"},{"short_name":"RJ SH 55","types":["route"],"long_name":"Rajasthan State Highway 55"},{"long_name":"Rundh Bhangarh","short_name":"Rundh Bhangarh","types":["locality","political"]},{"long_name":"Alwar","short_name":"Alwar","types":["administrative_area_level_3","political"]},{"long_name":"Jaipur Division","short_name":"Jaipur Division","types":["administrative_area_level_2","political"]},{"short_name":"RJ","types":["administrative_area_level_1","political"],"long_name":"Rajasthan"},{"short_name":"IN","types":["country","political"],"long_name":"India"},{"long_name":"301410","short_name":"301410","types":["postal_code"]},{"types":["latitude"],"long_name":27.0945913,"short_name":27.0945913},{"types":["longitude"],"long_name":76.29129979999999,"short_name":76.29129979999999}]}</v>
      </c>
      <c r="J173" s="8" t="str">
        <f t="shared" si="3"/>
        <v>[{"short_name":"Rajgarh Tehsil","types":["route"],"long_name":"Rajgarh Tehsil"},{"short_name":"Bhangarh","types":["locality","political"],"long_name":"Bhangarh"},{"long_name":"Alwar","short_name":"Alwar","types":["administrative_area_level_3","political"]},{"short_name":"Jaipur Division","types":["administrative_area_level_2","political"],"long_name":"Jaipur Division"},{"long_name":"Rajasthan","short_name":"RJ","types":["administrative_area_level_1","political"]},{"short_name":"IN","types":["country","political"],"long_name":"India"},{"short_name":"301410","types":["postal_code"],"long_name":"301410"},{"short_name":"Bhangarh Ruin","types":["premise"],"long_name":"Bhangarh Ruin"},{"short_name":"RJ SH 55","types":["route"],"long_name":"Rajasthan State Highway 55"},{"long_name":"Rundh Bhangarh","short_name":"Rundh Bhangarh","types":["locality","political"]},{"long_name":"Alwar","short_name":"Alwar","types":["administrative_area_level_3","political"]},{"long_name":"Jaipur Division","short_name":"Jaipur Division","types":["administrative_area_level_2","political"]},{"short_name":"RJ","types":["administrative_area_level_1","political"],"long_name":"Rajasthan"},{"short_name":"IN","types":["country","political"],"long_name":"India"},{"long_name":"301410","short_name":"301410","types":["postal_code"]},{"types":["latitude"],"long_name":27.0945913,"short_name":27.0945913},{"types":["longitude"],"long_name":76.29129979999999,"short_name":76.29129979999999},{"types":["debug_info","cache_load_result"],"long_name":"hit","short_name":"hit"}]</v>
      </c>
      <c r="K173" s="9" t="b">
        <f t="shared" si="243"/>
        <v>0</v>
      </c>
      <c r="L173" s="8" t="b">
        <f t="shared" si="4"/>
        <v>1</v>
      </c>
      <c r="M173" s="10" t="b">
        <v>1</v>
      </c>
      <c r="N173" s="10">
        <v>27.0964052</v>
      </c>
      <c r="O173" s="10">
        <v>76.2861707</v>
      </c>
      <c r="P173" s="10" t="s">
        <v>676</v>
      </c>
      <c r="Q173" s="10" t="s">
        <v>677</v>
      </c>
      <c r="R173" s="10">
        <v>301410.0</v>
      </c>
      <c r="S173" s="10" t="s">
        <v>418</v>
      </c>
      <c r="T173" s="19" t="s">
        <v>56</v>
      </c>
      <c r="U173" s="20" t="s">
        <v>56</v>
      </c>
      <c r="V173" s="18">
        <v>7146.33</v>
      </c>
      <c r="X173" s="4" t="str">
        <f t="shared" si="5"/>
        <v>N/A</v>
      </c>
      <c r="Y173" s="4"/>
      <c r="Z173" s="4" t="s">
        <v>38</v>
      </c>
      <c r="AB173" s="14" t="s">
        <v>69</v>
      </c>
    </row>
    <row r="174">
      <c r="A174" s="34" t="s">
        <v>456</v>
      </c>
      <c r="B174" s="4" t="s">
        <v>678</v>
      </c>
      <c r="C174" s="4"/>
      <c r="D174" s="4"/>
      <c r="E174" s="5"/>
      <c r="F174" s="4" t="s">
        <v>679</v>
      </c>
      <c r="G174" s="6" t="str">
        <f t="shared" si="1"/>
        <v>Link</v>
      </c>
      <c r="H174" s="3" t="s">
        <v>136</v>
      </c>
      <c r="I174" s="8" t="str">
        <f t="shared" si="2"/>
        <v>{"address_components":[{"long_name":"Thailand","types":["country","political"],"short_name":"TH"},{"types":["street_number"],"short_name":"413","long_name":"413"},{"long_name":"2","short_name":"2","types":["route"]},{"long_name":"ต.ทับช้าง","types":["locality","political"],"short_name":"ต.ทับช้าง"},{"types":["administrative_area_level_2","political"],"short_name":"อำเภอเมืองเพชรบูรณ์","long_name":"อำเภอเมืองเพชรบูรณ์"},{"long_name":"Chang Wat Phetchabun","short_name":"จ.เพชรบูรณ์","types":["administrative_area_level_1","political"]},{"long_name":"Thailand","types":["country","political"],"short_name":"TH"},{"types":["postal_code"],"short_name":"67000","long_name":"67000"},{"types":["latitude"],"long_name":15.870032,"short_name":15.870032},{"types":["longitude"],"long_name":100.992541,"short_name":100.992541}],"duration_from":{"days":{"driving":{"2116 4th Ave, Seattle, WA, 98121":"GOOGLE_MAPS_ERROR_CACHED - No route found!"}}},"distance_from":{"mi":{"driving":{"2116 4th Ave, Seattle, WA, 98121":"GOOGLE_MAPS_ERROR_CACHED - No route found!"},"flying":{"2116 4th Ave, Seattle, WA, 98121":7299.2997129257965}}}}</v>
      </c>
      <c r="J174" s="8" t="str">
        <f t="shared" si="3"/>
        <v>[{"long_name":"Thailand","types":["country","political"],"short_name":"TH"},{"types":["street_number"],"short_name":"413","long_name":"413"},{"long_name":"2","short_name":"2","types":["route"]},{"long_name":"ต.ทับช้าง","types":["locality","political"],"short_name":"ต.ทับช้าง"},{"types":["administrative_area_level_2","political"],"short_name":"อำเภอเมืองเพชรบูรณ์","long_name":"อำเภอเมืองเพชรบูรณ์"},{"long_name":"Chang Wat Phetchabun","short_name":"จ.เพชรบูรณ์","types":["administrative_area_level_1","political"]},{"long_name":"Thailand","types":["country","political"],"short_name":"TH"},{"types":["postal_code"],"short_name":"67000","long_name":"67000"},{"types":["latitude"],"long_name":15.870032,"short_name":15.870032},{"types":["longitude"],"long_name":100.992541,"short_name":100.992541},{"types":["debug_info","cache_load_result"],"long_name":"hit","short_name":"hit"}]</v>
      </c>
      <c r="K174" s="9" t="b">
        <f t="shared" ref="K174:K176" si="244">NOT(AND(NOT(_xlfn.ISFORMULA(P174)),AND(NOT(_xlfn.ISFORMULA(Q174)),AND(NOT(_xlfn.ISFORMULA(R174)),AND(NOT(_xlfn.ISFORMULA(S174)),AND(NOT(_xlfn.ISFORMULA(T174)),AND(NOT(_xlfn.ISFORMULA(U174)),AND(NOT(_xlfn.ISFORMULA(V174))))))))))</f>
        <v>1</v>
      </c>
      <c r="L174" s="8" t="b">
        <f t="shared" si="4"/>
        <v>0</v>
      </c>
      <c r="M174" s="15" t="b">
        <v>1</v>
      </c>
      <c r="N174" s="8">
        <f t="shared" ref="N174:N176" si="245">GOOGLEMAPS_GET_ADDRESS_LATITUDE(F174,true)</f>
        <v>15.870032</v>
      </c>
      <c r="O174" s="8">
        <f t="shared" ref="O174:O176" si="246">GOOGLEMAPS_GET_ADDRESS_LONGITUDE(F174,true)</f>
        <v>100.992541</v>
      </c>
      <c r="P174" s="8" t="str">
        <f t="shared" ref="P174:P176" si="247">GOOGLEMAPS_GET_ADDRESS_CITY(F174,true,false)</f>
        <v>ต.ทับช้าง</v>
      </c>
      <c r="Q174" s="8" t="str">
        <f t="shared" ref="Q174:Q176" si="248">GOOGLEMAPS_GET_ADDRESS_STATE(F174,true,false)</f>
        <v>Chang Wat Phetchabun</v>
      </c>
      <c r="R174" s="8" t="str">
        <f t="shared" ref="R174:R176" si="249">GOOGLEMAPS_GET_ADDRESS_POSTAL_CODE(F174,false,false)</f>
        <v>67000</v>
      </c>
      <c r="S174" s="8" t="str">
        <f t="shared" ref="S174:S176" si="250">GOOGLEMAPS_GET_ADDRESS_COUNTRY(F174,true,false)</f>
        <v>Thailand</v>
      </c>
      <c r="T174" s="11" t="str">
        <f t="shared" ref="T174:T176" si="251">IFERROR(GOOGLEMAPS_DISTANCE("2116 4th Ave, Seattle, WA, 98121", F174, "driving")+0,"Not Driveable")</f>
        <v>Not Driveable</v>
      </c>
      <c r="U174" s="12" t="str">
        <f t="shared" ref="U174:U176" si="252">iferror(GOOGLEMAPS_DURATION("2116 4th Ave, Seattle, WA, 98121", F174, "driving")+0,"Not Driveable")</f>
        <v>Not Driveable</v>
      </c>
      <c r="V174" s="13">
        <f t="shared" ref="V174:V176" si="253">GOOGLEMAPS_DISTANCE("2116 4th Ave, Seattle, WA, 98121", F174, "flying")+0</f>
        <v>7299.299713</v>
      </c>
      <c r="W174" s="4"/>
      <c r="X174" s="4" t="str">
        <f t="shared" si="5"/>
        <v>N/A</v>
      </c>
      <c r="Y174" s="4"/>
      <c r="Z174" s="4" t="s">
        <v>38</v>
      </c>
      <c r="AC174" s="14" t="s">
        <v>102</v>
      </c>
      <c r="AD174" s="4"/>
      <c r="AE174" s="4"/>
      <c r="AF174" s="4" t="s">
        <v>680</v>
      </c>
    </row>
    <row r="175">
      <c r="A175" s="3" t="s">
        <v>456</v>
      </c>
      <c r="B175" s="4" t="s">
        <v>681</v>
      </c>
      <c r="D175" s="4" t="s">
        <v>682</v>
      </c>
      <c r="E175" s="5"/>
      <c r="F175" s="4" t="s">
        <v>683</v>
      </c>
      <c r="G175" s="6" t="str">
        <f t="shared" si="1"/>
        <v>Link</v>
      </c>
      <c r="H175" s="3" t="s">
        <v>684</v>
      </c>
      <c r="I175" s="7" t="str">
        <f t="shared" si="2"/>
        <v>{"address_components":[{"types":["route"],"long_name":"Port of Brisbane - Tangalooma Wreck","short_name":"Port of Brisbane - Tangalooma Wreck"},{"long_name":"Tangalooma","types":["locality","political"],"short_name":"Tangalooma"},{"short_name":"QLD","long_name":"Queensland","types":["administrative_area_level_1","political"]},{"types":["country","political"],"long_name":"Australia","short_name":"AU"},{"types":["postal_code"],"long_name":"4025","short_name":"4025"},{"long_name":"R9P9+H6","short_name":"R9P9+H6","types":["plus_code"]},{"long_name":"Moreton Island","short_name":"Moreton Island","types":["locality","political"]},{"short_name":"Brisbane","types":["administrative_area_level_2","political"],"long_name":"Brisbane City"},{"long_name":"Queensland","short_name":"QLD","types":["administrative_area_level_1","political"]},{"long_name":"Australia","short_name":"AU","types":["country","political"]},{"types":["latitude"],"long_name":-27.1635328,"short_name":-27.1635328},{"types":["longitude"],"long_name":153.3681072,"short_name":153.3681072}],"distance_from":{"mi":{"flying":{"2116 4th Ave, Seattle, WA, 98121":7331.726049187866},"driving":{"2116 4th Ave, Seattle, WA, 98121":"GOOGLE_MAPS_ERROR_CACHED - No route found!"}}},"duration_from":{"days":{"driving":{"2116 4th Ave, Seattle, WA, 98121":"GOOGLE_MAPS_ERROR_CACHED - No route found!"}}}}</v>
      </c>
      <c r="J175" s="8" t="str">
        <f t="shared" si="3"/>
        <v>[{"types":["route"],"long_name":"Port of Brisbane - Tangalooma Wreck","short_name":"Port of Brisbane - Tangalooma Wreck"},{"long_name":"Tangalooma","types":["locality","political"],"short_name":"Tangalooma"},{"short_name":"QLD","long_name":"Queensland","types":["administrative_area_level_1","political"]},{"types":["country","political"],"long_name":"Australia","short_name":"AU"},{"types":["postal_code"],"long_name":"4025","short_name":"4025"},{"long_name":"R9P9+H6","short_name":"R9P9+H6","types":["plus_code"]},{"long_name":"Moreton Island","short_name":"Moreton Island","types":["locality","political"]},{"short_name":"Brisbane","types":["administrative_area_level_2","political"],"long_name":"Brisbane City"},{"long_name":"Queensland","short_name":"QLD","types":["administrative_area_level_1","political"]},{"long_name":"Australia","short_name":"AU","types":["country","political"]},{"types":["latitude"],"long_name":-27.1635328,"short_name":-27.1635328},{"types":["longitude"],"long_name":153.3681072,"short_name":153.3681072},{"types":["debug_info","cache_load_result"],"long_name":"hit","short_name":"hit"}]</v>
      </c>
      <c r="K175" s="9" t="b">
        <f t="shared" si="244"/>
        <v>1</v>
      </c>
      <c r="L175" s="8" t="b">
        <f t="shared" si="4"/>
        <v>1</v>
      </c>
      <c r="M175" s="10" t="b">
        <v>1</v>
      </c>
      <c r="N175" s="8">
        <f t="shared" si="245"/>
        <v>-27.1635328</v>
      </c>
      <c r="O175" s="8">
        <f t="shared" si="246"/>
        <v>153.3681072</v>
      </c>
      <c r="P175" s="8" t="str">
        <f t="shared" si="247"/>
        <v>Tangalooma</v>
      </c>
      <c r="Q175" s="8" t="str">
        <f t="shared" si="248"/>
        <v>Queensland</v>
      </c>
      <c r="R175" s="8" t="str">
        <f t="shared" si="249"/>
        <v>4025</v>
      </c>
      <c r="S175" s="8" t="str">
        <f t="shared" si="250"/>
        <v>Australia</v>
      </c>
      <c r="T175" s="11" t="str">
        <f t="shared" si="251"/>
        <v>Not Driveable</v>
      </c>
      <c r="U175" s="12" t="str">
        <f t="shared" si="252"/>
        <v>Not Driveable</v>
      </c>
      <c r="V175" s="13">
        <f t="shared" si="253"/>
        <v>7331.726049</v>
      </c>
      <c r="X175" s="4" t="str">
        <f t="shared" si="5"/>
        <v>N/A</v>
      </c>
      <c r="Y175" s="4"/>
      <c r="Z175" s="4" t="s">
        <v>38</v>
      </c>
    </row>
    <row r="176">
      <c r="A176" s="34" t="s">
        <v>456</v>
      </c>
      <c r="B176" s="4" t="s">
        <v>685</v>
      </c>
      <c r="C176" s="4"/>
      <c r="D176" s="4"/>
      <c r="E176" s="5"/>
      <c r="F176" s="4" t="s">
        <v>686</v>
      </c>
      <c r="G176" s="6" t="str">
        <f t="shared" si="1"/>
        <v>Link</v>
      </c>
      <c r="H176" s="3" t="s">
        <v>37</v>
      </c>
      <c r="I176" s="8" t="str">
        <f t="shared" si="2"/>
        <v>{"duration_from":{"days":{"driving":{"2116 4th Ave, Seattle, WA, 98121":"GOOGLE_MAPS_ERROR_CACHED - No route found!"}}},"address_components":[{"short_name":"Danakil Depression","types":["establishment","natural_feature"],"long_name":"Danakil Depression"},{"long_name":"ዞን 2 (ኪልባት ራሱ)","short_name":"ዞን 2 (ኪልባት ራሱ)","types":["administrative_area_level_2","political"]},{"types":["administrative_area_level_1","political"],"short_name":"አፋር","long_name":"አፋር"},{"long_name":"Ethiopia","short_name":"ET","types":["country","political"]},{"short_name":"67RX+QW","types":["plus_code"],"long_name":"67RX+QW"},{"long_name":"Dalol","short_name":"Dalol","types":["locality","political"]},{"short_name":"Zone 2 (Kilbet Rasu)","types":["administrative_area_level_2","political"],"long_name":"Zone 2 (Kilbet Rasu)"},{"types":["administrative_area_level_1","political"],"long_name":"Afar","short_name":"Afar"},{"short_name":"ET","long_name":"Ethiopia","types":["country","political"]},{"types":["latitude"],"long_name":14.241893,"short_name":14.241893},{"types":["longitude"],"long_name":40.2998619,"short_name":40.2998619}],"distance_from":{"mi":{"flying":{"2116 4th Ave, Seattle, WA, 98121":8030.5205860787655},"driving":{"2116 4th Ave, Seattle, WA, 98121":"GOOGLE_MAPS_ERROR_CACHED - No route found!"}}}}</v>
      </c>
      <c r="J176" s="8" t="str">
        <f t="shared" si="3"/>
        <v>[{"short_name":"Danakil Depression","types":["establishment","natural_feature"],"long_name":"Danakil Depression"},{"long_name":"ዞን 2 (ኪልባት ራሱ)","short_name":"ዞን 2 (ኪልባት ራሱ)","types":["administrative_area_level_2","political"]},{"types":["administrative_area_level_1","political"],"short_name":"አፋር","long_name":"አፋር"},{"long_name":"Ethiopia","short_name":"ET","types":["country","political"]},{"short_name":"67RX+QW","types":["plus_code"],"long_name":"67RX+QW"},{"long_name":"Dalol","short_name":"Dalol","types":["locality","political"]},{"short_name":"Zone 2 (Kilbet Rasu)","types":["administrative_area_level_2","political"],"long_name":"Zone 2 (Kilbet Rasu)"},{"types":["administrative_area_level_1","political"],"long_name":"Afar","short_name":"Afar"},{"short_name":"ET","long_name":"Ethiopia","types":["country","political"]},{"types":["latitude"],"long_name":14.241893,"short_name":14.241893},{"types":["longitude"],"long_name":40.2998619,"short_name":40.2998619},{"types":["debug_info","cache_load_result"],"long_name":"hit","short_name":"hit"}]</v>
      </c>
      <c r="K176" s="9" t="b">
        <f t="shared" si="244"/>
        <v>1</v>
      </c>
      <c r="L176" s="8" t="b">
        <f t="shared" si="4"/>
        <v>0</v>
      </c>
      <c r="M176" s="10" t="b">
        <v>1</v>
      </c>
      <c r="N176" s="8">
        <f t="shared" si="245"/>
        <v>14.241893</v>
      </c>
      <c r="O176" s="8">
        <f t="shared" si="246"/>
        <v>40.2998619</v>
      </c>
      <c r="P176" s="8" t="str">
        <f t="shared" si="247"/>
        <v>Dalol</v>
      </c>
      <c r="Q176" s="8" t="str">
        <f t="shared" si="248"/>
        <v>አፋር</v>
      </c>
      <c r="R176" s="8" t="str">
        <f t="shared" si="249"/>
        <v>UNDEFINED</v>
      </c>
      <c r="S176" s="8" t="str">
        <f t="shared" si="250"/>
        <v>Ethiopia</v>
      </c>
      <c r="T176" s="11" t="str">
        <f t="shared" si="251"/>
        <v>Not Driveable</v>
      </c>
      <c r="U176" s="12" t="str">
        <f t="shared" si="252"/>
        <v>Not Driveable</v>
      </c>
      <c r="V176" s="13">
        <f t="shared" si="253"/>
        <v>8030.520586</v>
      </c>
      <c r="W176" s="4"/>
      <c r="X176" s="4" t="str">
        <f t="shared" si="5"/>
        <v>N/A</v>
      </c>
      <c r="Y176" s="4"/>
      <c r="Z176" s="4" t="s">
        <v>38</v>
      </c>
    </row>
    <row r="177">
      <c r="A177" s="3" t="s">
        <v>456</v>
      </c>
      <c r="B177" s="4" t="s">
        <v>687</v>
      </c>
      <c r="C177" s="4" t="s">
        <v>688</v>
      </c>
      <c r="D177" s="4"/>
      <c r="E177" s="3" t="s">
        <v>43</v>
      </c>
      <c r="F177" s="4" t="s">
        <v>689</v>
      </c>
      <c r="G177" s="6" t="str">
        <f t="shared" si="1"/>
        <v>Link</v>
      </c>
      <c r="H177" s="3" t="s">
        <v>106</v>
      </c>
      <c r="I177" s="8" t="str">
        <f t="shared" si="2"/>
        <v>{"address_components":[{"types":["locality","political"],"long_name":"Alice Springs","short_name":"Alice Springs"},{"short_name":"Alice Springs","long_name":"Alice Springs Municipality","types":["administrative_area_level_2","political"]},{"long_name":"Northern Territory","types":["administrative_area_level_1","political"],"short_name":"NT"},{"types":["country","political"],"long_name":"Australia","short_name":"AU"},{"types":["postal_code"],"short_name":"0870","long_name":"0870"},{"types":["street_number"],"long_name":"6","short_name":"6"},{"types":["route"],"short_name":"Parsons St","long_name":"Parsons Street"},{"types":["locality","political"],"long_name":"Alice Springs","short_name":"Alice Springs"},{"types":["administrative_area_level_2","political"],"short_name":"Alice Springs","long_name":"Alice Springs Municipality"},{"long_name":"Northern Territory","types":["administrative_area_level_1","political"],"short_name":"NT"},{"short_name":"AU","long_name":"Australia","types":["country","political"]},{"long_name":"0870","types":["postal_code"],"short_name":"0870"},{"types":["latitude"],"long_name":-23.698042,"short_name":-23.698042},{"types":["longitude"],"long_name":133.8807471,"short_name":133.8807471}]}</v>
      </c>
      <c r="J177" s="8" t="str">
        <f t="shared" si="3"/>
        <v>[{"types":["locality","political"],"long_name":"Alice Springs","short_name":"Alice Springs"},{"short_name":"Alice Springs","long_name":"Alice Springs Municipality","types":["administrative_area_level_2","political"]},{"long_name":"Northern Territory","types":["administrative_area_level_1","political"],"short_name":"NT"},{"types":["country","political"],"long_name":"Australia","short_name":"AU"},{"types":["postal_code"],"short_name":"0870","long_name":"0870"},{"types":["street_number"],"long_name":"6","short_name":"6"},{"types":["route"],"short_name":"Parsons St","long_name":"Parsons Street"},{"types":["locality","political"],"long_name":"Alice Springs","short_name":"Alice Springs"},{"types":["administrative_area_level_2","political"],"short_name":"Alice Springs","long_name":"Alice Springs Municipality"},{"long_name":"Northern Territory","types":["administrative_area_level_1","political"],"short_name":"NT"},{"short_name":"AU","long_name":"Australia","types":["country","political"]},{"long_name":"0870","types":["postal_code"],"short_name":"0870"},{"types":["latitude"],"long_name":-23.698042,"short_name":-23.698042},{"types":["longitude"],"long_name":133.8807471,"short_name":133.8807471},{"types":["debug_info","cache_load_result"],"long_name":"hit","short_name":"hit"}]</v>
      </c>
      <c r="K177" s="9" t="b">
        <f t="shared" ref="K177:K185" si="254">NOT(AND(NOT(_xlfn.ISFORMULA(P177)),AND(NOT(_xlfn.ISFORMULA(Q177)),AND(NOT(_xlfn.ISFORMULA(R177)),AND(NOT(_xlfn.ISFORMULA(S177)),AND(NOT(_xlfn.ISFORMULA(T177)),AND(NOT(_xlfn.ISFORMULA(U177)),AND(NOT(_xlfn.ISFORMULA(V177)),AND(NOT(_xlfn.ISFORMULA(N177)),NOT(_xlfn.ISFORMULA(O177)))))))))))</f>
        <v>0</v>
      </c>
      <c r="L177" s="8" t="b">
        <f t="shared" si="4"/>
        <v>1</v>
      </c>
      <c r="M177" s="15" t="b">
        <v>1</v>
      </c>
      <c r="N177" s="10">
        <v>-23.698042</v>
      </c>
      <c r="O177" s="10">
        <v>133.8807471</v>
      </c>
      <c r="P177" s="10" t="s">
        <v>687</v>
      </c>
      <c r="Q177" s="10" t="s">
        <v>690</v>
      </c>
      <c r="R177" s="10">
        <v>870.0</v>
      </c>
      <c r="S177" s="10" t="s">
        <v>672</v>
      </c>
      <c r="T177" s="19" t="s">
        <v>56</v>
      </c>
      <c r="U177" s="20" t="s">
        <v>56</v>
      </c>
      <c r="V177" s="18">
        <v>8039.1</v>
      </c>
      <c r="X177" s="4" t="str">
        <f t="shared" si="5"/>
        <v>N/A</v>
      </c>
      <c r="Y177" s="4"/>
      <c r="Z177" s="4" t="s">
        <v>38</v>
      </c>
    </row>
    <row r="178">
      <c r="A178" s="34" t="s">
        <v>456</v>
      </c>
      <c r="B178" s="4" t="s">
        <v>691</v>
      </c>
      <c r="C178" s="4"/>
      <c r="D178" s="4"/>
      <c r="E178" s="3" t="s">
        <v>43</v>
      </c>
      <c r="F178" s="4" t="s">
        <v>692</v>
      </c>
      <c r="G178" s="6" t="str">
        <f t="shared" si="1"/>
        <v>Link</v>
      </c>
      <c r="H178" s="3" t="s">
        <v>106</v>
      </c>
      <c r="I178" s="8" t="str">
        <f t="shared" si="2"/>
        <v>{"address_components":[{"long_name":"Cape Town","types":["locality","political"],"short_name":"Cape Town"},{"long_name":"City of Cape Town Metropolitan Municipality","types":["administrative_area_level_2","political"],"short_name":"City of Cape Town Metropolitan Municipality"},{"short_name":"WC","types":["administrative_area_level_1","political"],"long_name":"Western Cape"},{"long_name":"South Africa","types":["country","political"],"short_name":"ZA"},{"short_name":"Adderley St","long_name":"Adderley Street","types":["route"]},{"types":["political","sublocality","sublocality_level_2"],"long_name":"Cape Town City Centre","short_name":"Cape Town City Centre"},{"types":["locality","political"],"long_name":"Cape Town","short_name":"Cape Town"},{"short_name":"City of Cape Town Metropolitan Municipality","long_name":"City of Cape Town Metropolitan Municipality","types":["administrative_area_level_2","political"]},{"short_name":"WC","types":["administrative_area_level_1","political"],"long_name":"Western Cape"},{"types":["country","political"],"long_name":"South Africa","short_name":"ZA"},{"types":["postal_code"],"long_name":"8000","short_name":"8000"},{"types":["latitude"],"long_name":-33.922087,"short_name":-33.922087},{"types":["longitude"],"long_name":18.4231418,"short_name":18.4231418}]}</v>
      </c>
      <c r="J178" s="8" t="str">
        <f t="shared" si="3"/>
        <v>[{"long_name":"Cape Town","types":["locality","political"],"short_name":"Cape Town"},{"long_name":"City of Cape Town Metropolitan Municipality","types":["administrative_area_level_2","political"],"short_name":"City of Cape Town Metropolitan Municipality"},{"short_name":"WC","types":["administrative_area_level_1","political"],"long_name":"Western Cape"},{"long_name":"South Africa","types":["country","political"],"short_name":"ZA"},{"short_name":"Adderley St","long_name":"Adderley Street","types":["route"]},{"types":["political","sublocality","sublocality_level_2"],"long_name":"Cape Town City Centre","short_name":"Cape Town City Centre"},{"types":["locality","political"],"long_name":"Cape Town","short_name":"Cape Town"},{"short_name":"City of Cape Town Metropolitan Municipality","long_name":"City of Cape Town Metropolitan Municipality","types":["administrative_area_level_2","political"]},{"short_name":"WC","types":["administrative_area_level_1","political"],"long_name":"Western Cape"},{"types":["country","political"],"long_name":"South Africa","short_name":"ZA"},{"types":["postal_code"],"long_name":"8000","short_name":"8000"},{"types":["latitude"],"long_name":-33.922087,"short_name":-33.922087},{"types":["longitude"],"long_name":18.4231418,"short_name":18.4231418},{"types":["debug_info","cache_load_result"],"long_name":"hit","short_name":"hit"}]</v>
      </c>
      <c r="K178" s="9" t="b">
        <f t="shared" si="254"/>
        <v>0</v>
      </c>
      <c r="L178" s="8" t="b">
        <f t="shared" si="4"/>
        <v>1</v>
      </c>
      <c r="M178" s="10" t="b">
        <v>1</v>
      </c>
      <c r="N178" s="10">
        <v>-33.9248685</v>
      </c>
      <c r="O178" s="10">
        <v>18.4240553</v>
      </c>
      <c r="P178" s="10" t="s">
        <v>691</v>
      </c>
      <c r="Q178" s="10" t="s">
        <v>693</v>
      </c>
      <c r="R178" s="10">
        <v>8000.0</v>
      </c>
      <c r="S178" s="10" t="s">
        <v>694</v>
      </c>
      <c r="T178" s="19" t="s">
        <v>56</v>
      </c>
      <c r="U178" s="20" t="s">
        <v>56</v>
      </c>
      <c r="V178" s="18">
        <v>10206.83</v>
      </c>
      <c r="W178" s="4"/>
      <c r="X178" s="4" t="str">
        <f t="shared" si="5"/>
        <v>N/A</v>
      </c>
      <c r="Y178" s="4"/>
      <c r="Z178" s="4" t="s">
        <v>38</v>
      </c>
    </row>
    <row r="179" hidden="1">
      <c r="A179" s="3" t="s">
        <v>695</v>
      </c>
      <c r="B179" s="4" t="s">
        <v>696</v>
      </c>
      <c r="C179" s="4" t="s">
        <v>697</v>
      </c>
      <c r="D179" s="4"/>
      <c r="E179" s="3" t="s">
        <v>43</v>
      </c>
      <c r="F179" s="4" t="s">
        <v>696</v>
      </c>
      <c r="G179" s="6" t="str">
        <f t="shared" si="1"/>
        <v>Link</v>
      </c>
      <c r="H179" s="3" t="s">
        <v>187</v>
      </c>
      <c r="I179" s="8" t="str">
        <f t="shared" si="2"/>
        <v>{"address_components":[{"long_name":"Wallace","types":["locality","political"],"short_name":"Wallace"},{"types":["administrative_area_level_2","political"],"long_name":"Shoshone County","short_name":"Shoshone County"},{"long_name":"Idaho","types":["administrative_area_level_1","political"],"short_name":"ID"},{"long_name":"United States","short_name":"US","types":["country","political"]},{"short_name":"83873","types":["postal_code"],"long_name":"83873"},{"long_name":"1","types":["street_number"],"short_name":"1"},{"types":["route"],"long_name":"Miners Alley","short_name":"Miners Aly"},{"short_name":"Wallace","long_name":"Wallace","types":["locality","political"]},{"short_name":"Shoshone County","types":["administrative_area_level_2","political"],"long_name":"Shoshone County"},{"long_name":"Idaho","short_name":"ID","types":["administrative_area_level_1","political"]},{"types":["country","political"],"short_name":"US","long_name":"United States"},{"types":["postal_code"],"long_name":"83873","short_name":"83873"},{"long_name":"2223","types":["postal_code_suffix"],"short_name":"2223"},{"types":["latitude"],"long_name":47.4740945,"short_name":47.4740945},{"types":["longitude"],"long_name":-115.9279387,"short_name":-115.9279387}]}</v>
      </c>
      <c r="J179" s="8" t="str">
        <f t="shared" si="3"/>
        <v>[{"long_name":"Wallace","types":["locality","political"],"short_name":"Wallace"},{"types":["administrative_area_level_2","political"],"long_name":"Shoshone County","short_name":"Shoshone County"},{"long_name":"Idaho","types":["administrative_area_level_1","political"],"short_name":"ID"},{"long_name":"United States","short_name":"US","types":["country","political"]},{"short_name":"83873","types":["postal_code"],"long_name":"83873"},{"long_name":"1","types":["street_number"],"short_name":"1"},{"types":["route"],"long_name":"Miners Alley","short_name":"Miners Aly"},{"short_name":"Wallace","long_name":"Wallace","types":["locality","political"]},{"short_name":"Shoshone County","types":["administrative_area_level_2","political"],"long_name":"Shoshone County"},{"long_name":"Idaho","short_name":"ID","types":["administrative_area_level_1","political"]},{"types":["country","political"],"short_name":"US","long_name":"United States"},{"types":["postal_code"],"long_name":"83873","short_name":"83873"},{"long_name":"2223","types":["postal_code_suffix"],"short_name":"2223"},{"types":["latitude"],"long_name":47.4740945,"short_name":47.4740945},{"types":["longitude"],"long_name":-115.9279387,"short_name":-115.9279387},{"types":["debug_info","cache_load_result"],"long_name":"hit","short_name":"hit"}]</v>
      </c>
      <c r="K179" s="9" t="b">
        <f t="shared" si="254"/>
        <v>0</v>
      </c>
      <c r="L179" s="8" t="b">
        <f t="shared" si="4"/>
        <v>1</v>
      </c>
      <c r="M179" s="10" t="b">
        <v>1</v>
      </c>
      <c r="N179" s="10">
        <v>47.4740945</v>
      </c>
      <c r="O179" s="10">
        <v>-115.9279387</v>
      </c>
      <c r="P179" s="15" t="s">
        <v>698</v>
      </c>
      <c r="Q179" s="15" t="s">
        <v>555</v>
      </c>
      <c r="R179" s="15">
        <v>83873.0</v>
      </c>
      <c r="S179" s="15" t="s">
        <v>47</v>
      </c>
      <c r="T179" s="19">
        <v>359.1</v>
      </c>
      <c r="U179" s="32">
        <v>0.2304050925925926</v>
      </c>
      <c r="V179" s="18">
        <v>299.21</v>
      </c>
      <c r="W179" s="38"/>
      <c r="X179" s="39" t="str">
        <f t="shared" si="5"/>
        <v>N/A</v>
      </c>
      <c r="Y179" s="38"/>
      <c r="Z179" s="39" t="s">
        <v>38</v>
      </c>
    </row>
    <row r="180" hidden="1">
      <c r="A180" s="3" t="s">
        <v>695</v>
      </c>
      <c r="B180" s="4" t="s">
        <v>699</v>
      </c>
      <c r="C180" s="4" t="s">
        <v>700</v>
      </c>
      <c r="D180" s="4"/>
      <c r="E180" s="3" t="s">
        <v>43</v>
      </c>
      <c r="F180" s="4" t="s">
        <v>701</v>
      </c>
      <c r="G180" s="6" t="str">
        <f t="shared" si="1"/>
        <v>Link</v>
      </c>
      <c r="H180" s="3" t="s">
        <v>187</v>
      </c>
      <c r="I180" s="8" t="str">
        <f t="shared" si="2"/>
        <v>{"address_components":[{"types":["locality","political"],"long_name":"Virginia City","short_name":"Virginia City"},{"types":["administrative_area_level_2","political"],"long_name":"Madison County","short_name":"Madison County"},{"types":["administrative_area_level_1","political"],"long_name":"Montana","short_name":"MT"},{"long_name":"United States","short_name":"US","types":["country","political"]},{"long_name":"59729","short_name":"59729","types":["postal_code"]},{"types":["street_number"],"long_name":"209","short_name":"209"},{"types":["route"],"long_name":"Wallace Street","short_name":"Wallace St"},{"long_name":"Virginia City","short_name":"Virginia City","types":["locality","political"]},{"types":["administrative_area_level_2","political"],"long_name":"Madison County","short_name":"Madison County"},{"types":["administrative_area_level_1","political"],"long_name":"Montana","short_name":"MT"},{"types":["country","political"],"long_name":"United States","short_name":"US"},{"types":["postal_code"],"long_name":"59755","short_name":"59755"},{"types":["latitude"],"long_name":45.2938143,"short_name":45.2938143},{"types":["longitude"],"long_name":-111.9460911,"short_name":-111.9460911}]}</v>
      </c>
      <c r="J180" s="8" t="str">
        <f t="shared" si="3"/>
        <v>[{"types":["locality","political"],"long_name":"Virginia City","short_name":"Virginia City"},{"types":["administrative_area_level_2","political"],"long_name":"Madison County","short_name":"Madison County"},{"types":["administrative_area_level_1","political"],"long_name":"Montana","short_name":"MT"},{"long_name":"United States","short_name":"US","types":["country","political"]},{"long_name":"59729","short_name":"59729","types":["postal_code"]},{"types":["street_number"],"long_name":"209","short_name":"209"},{"types":["route"],"long_name":"Wallace Street","short_name":"Wallace St"},{"long_name":"Virginia City","short_name":"Virginia City","types":["locality","political"]},{"types":["administrative_area_level_2","political"],"long_name":"Madison County","short_name":"Madison County"},{"types":["administrative_area_level_1","political"],"long_name":"Montana","short_name":"MT"},{"types":["country","political"],"long_name":"United States","short_name":"US"},{"types":["postal_code"],"long_name":"59755","short_name":"59755"},{"types":["latitude"],"long_name":45.2938143,"short_name":45.2938143},{"types":["longitude"],"long_name":-111.9460911,"short_name":-111.9460911},{"types":["debug_info","cache_load_result"],"long_name":"hit","short_name":"hit"}]</v>
      </c>
      <c r="K180" s="9" t="b">
        <f t="shared" si="254"/>
        <v>0</v>
      </c>
      <c r="L180" s="8" t="b">
        <f t="shared" si="4"/>
        <v>1</v>
      </c>
      <c r="M180" s="10" t="b">
        <v>1</v>
      </c>
      <c r="N180" s="10">
        <v>45.2938143</v>
      </c>
      <c r="O180" s="10">
        <v>-111.9460911</v>
      </c>
      <c r="P180" s="10" t="s">
        <v>702</v>
      </c>
      <c r="Q180" s="10" t="s">
        <v>593</v>
      </c>
      <c r="R180" s="10">
        <v>59729.0</v>
      </c>
      <c r="S180" s="10" t="s">
        <v>47</v>
      </c>
      <c r="T180" s="19">
        <v>667.6</v>
      </c>
      <c r="U180" s="32">
        <v>0.4279513888888889</v>
      </c>
      <c r="V180" s="18">
        <v>519.69</v>
      </c>
      <c r="X180" s="4" t="str">
        <f t="shared" si="5"/>
        <v>N/A</v>
      </c>
      <c r="Z180" s="4" t="s">
        <v>38</v>
      </c>
    </row>
    <row r="181" hidden="1">
      <c r="A181" s="3" t="s">
        <v>695</v>
      </c>
      <c r="B181" s="4" t="s">
        <v>703</v>
      </c>
      <c r="C181" s="4" t="s">
        <v>704</v>
      </c>
      <c r="D181" s="4"/>
      <c r="E181" s="3" t="s">
        <v>43</v>
      </c>
      <c r="F181" s="4" t="s">
        <v>705</v>
      </c>
      <c r="G181" s="6" t="str">
        <f t="shared" si="1"/>
        <v>Link</v>
      </c>
      <c r="H181" s="3" t="s">
        <v>187</v>
      </c>
      <c r="I181" s="8" t="str">
        <f t="shared" si="2"/>
        <v>{"address_components":[{"types":["locality","political"],"long_name":"Port Townsend","short_name":"Port Townsend"},{"types":["administrative_area_level_2","political"],"short_name":"Jefferson County","long_name":"Jefferson County"},{"types":["administrative_area_level_1","political"],"short_name":"WA","long_name":"Washington"},{"long_name":"United States","short_name":"US","types":["country","political"]},{"types":["street_number"],"long_name":"641-699","short_name":"641-699"},{"types":["route"],"short_name":"Tyler St","long_name":"Tyler Street"},{"long_name":"Port Townsend","short_name":"Port Townsend","types":["locality","political"]},{"types":["administrative_area_level_2","political"],"short_name":"Jefferson County","long_name":"Jefferson County"},{"short_name":"WA","long_name":"Washington","types":["administrative_area_level_1","political"]},{"long_name":"United States","short_name":"US","types":["country","political"]},{"types":["postal_code"],"long_name":"98368","short_name":"98368"},{"types":["postal_code_suffix"],"long_name":"6536","short_name":"6536"},{"types":["latitude"],"long_name":48.11703869999999,"short_name":48.11703869999999},{"types":["longitude"],"long_name":-122.7604472,"short_name":-122.7604472}]}</v>
      </c>
      <c r="J181" s="8" t="str">
        <f t="shared" si="3"/>
        <v>[{"types":["locality","political"],"long_name":"Port Townsend","short_name":"Port Townsend"},{"types":["administrative_area_level_2","political"],"short_name":"Jefferson County","long_name":"Jefferson County"},{"types":["administrative_area_level_1","political"],"short_name":"WA","long_name":"Washington"},{"long_name":"United States","short_name":"US","types":["country","political"]},{"types":["street_number"],"long_name":"641-699","short_name":"641-699"},{"types":["route"],"short_name":"Tyler St","long_name":"Tyler Street"},{"long_name":"Port Townsend","short_name":"Port Townsend","types":["locality","political"]},{"types":["administrative_area_level_2","political"],"short_name":"Jefferson County","long_name":"Jefferson County"},{"short_name":"WA","long_name":"Washington","types":["administrative_area_level_1","political"]},{"long_name":"United States","short_name":"US","types":["country","political"]},{"types":["postal_code"],"long_name":"98368","short_name":"98368"},{"types":["postal_code_suffix"],"long_name":"6536","short_name":"6536"},{"types":["latitude"],"long_name":48.11703869999999,"short_name":48.11703869999999},{"types":["longitude"],"long_name":-122.7604472,"short_name":-122.7604472},{"types":["debug_info","cache_load_result"],"long_name":"hit","short_name":"hit"}]</v>
      </c>
      <c r="K181" s="9" t="b">
        <f t="shared" si="254"/>
        <v>0</v>
      </c>
      <c r="L181" s="8" t="b">
        <f t="shared" si="4"/>
        <v>1</v>
      </c>
      <c r="M181" s="10" t="b">
        <v>1</v>
      </c>
      <c r="N181" s="10">
        <v>48.1170387</v>
      </c>
      <c r="O181" s="10">
        <v>-122.7604472</v>
      </c>
      <c r="P181" s="10" t="s">
        <v>703</v>
      </c>
      <c r="Q181" s="10" t="s">
        <v>193</v>
      </c>
      <c r="R181" s="10">
        <v>98368.0</v>
      </c>
      <c r="S181" s="10" t="s">
        <v>47</v>
      </c>
      <c r="T181" s="19">
        <v>57.0</v>
      </c>
      <c r="U181" s="32">
        <v>0.08971064814814815</v>
      </c>
      <c r="V181" s="18">
        <v>39.79</v>
      </c>
      <c r="W181" s="40"/>
      <c r="X181" s="4" t="str">
        <f t="shared" si="5"/>
        <v>N/A</v>
      </c>
      <c r="Y181" s="40"/>
      <c r="Z181" s="40">
        <v>44166.0</v>
      </c>
      <c r="AA181" s="4"/>
      <c r="AB181" s="14" t="s">
        <v>706</v>
      </c>
      <c r="AE181" s="4"/>
      <c r="AF181" s="4" t="s">
        <v>707</v>
      </c>
    </row>
    <row r="182" hidden="1">
      <c r="A182" s="3" t="s">
        <v>695</v>
      </c>
      <c r="B182" s="4" t="s">
        <v>708</v>
      </c>
      <c r="C182" s="4" t="s">
        <v>709</v>
      </c>
      <c r="D182" s="4"/>
      <c r="E182" s="3" t="s">
        <v>43</v>
      </c>
      <c r="F182" s="4" t="s">
        <v>708</v>
      </c>
      <c r="G182" s="6" t="str">
        <f t="shared" si="1"/>
        <v>Link</v>
      </c>
      <c r="H182" s="3" t="s">
        <v>187</v>
      </c>
      <c r="I182" s="8" t="str">
        <f t="shared" si="2"/>
        <v>{"address_components":[{"short_name":"Leavenworth","types":["locality","political"],"long_name":"Leavenworth"},{"short_name":"Chelan County","types":["administrative_area_level_2","political"],"long_name":"Chelan County"},{"long_name":"Washington","short_name":"WA","types":["administrative_area_level_1","political"]},{"short_name":"US","types":["country","political"],"long_name":"United States"},{"types":["postal_code"],"short_name":"98826","long_name":"98826"},{"types":["street_number"],"long_name":"925","short_name":"925"},{"short_name":"Commercial St","types":["route"],"long_name":"Commercial Street"},{"short_name":"Leavenworth","types":["locality","political"],"long_name":"Leavenworth"},{"long_name":"Chelan County","types":["administrative_area_level_2","political"],"short_name":"Chelan County"},{"long_name":"Washington","short_name":"WA","types":["administrative_area_level_1","political"]},{"long_name":"United States","types":["country","political"],"short_name":"US"},{"long_name":"98826","types":["postal_code"],"short_name":"98826"},{"types":["latitude"],"long_name":47.5962326,"short_name":47.5962326},{"types":["longitude"],"long_name":-120.6614765,"short_name":-120.6614765}]}</v>
      </c>
      <c r="J182" s="8" t="str">
        <f t="shared" si="3"/>
        <v>[{"short_name":"Leavenworth","types":["locality","political"],"long_name":"Leavenworth"},{"short_name":"Chelan County","types":["administrative_area_level_2","political"],"long_name":"Chelan County"},{"long_name":"Washington","short_name":"WA","types":["administrative_area_level_1","political"]},{"short_name":"US","types":["country","political"],"long_name":"United States"},{"types":["postal_code"],"short_name":"98826","long_name":"98826"},{"types":["street_number"],"long_name":"925","short_name":"925"},{"short_name":"Commercial St","types":["route"],"long_name":"Commercial Street"},{"short_name":"Leavenworth","types":["locality","political"],"long_name":"Leavenworth"},{"long_name":"Chelan County","types":["administrative_area_level_2","political"],"short_name":"Chelan County"},{"long_name":"Washington","short_name":"WA","types":["administrative_area_level_1","political"]},{"long_name":"United States","types":["country","political"],"short_name":"US"},{"long_name":"98826","types":["postal_code"],"short_name":"98826"},{"types":["latitude"],"long_name":47.5962326,"short_name":47.5962326},{"types":["longitude"],"long_name":-120.6614765,"short_name":-120.6614765},{"types":["debug_info","cache_load_result"],"long_name":"hit","short_name":"hit"}]</v>
      </c>
      <c r="K182" s="9" t="b">
        <f t="shared" si="254"/>
        <v>0</v>
      </c>
      <c r="L182" s="8" t="b">
        <f t="shared" si="4"/>
        <v>1</v>
      </c>
      <c r="M182" s="10" t="b">
        <v>1</v>
      </c>
      <c r="N182" s="10">
        <v>47.5962326</v>
      </c>
      <c r="O182" s="10">
        <v>-120.6614765</v>
      </c>
      <c r="P182" s="10" t="s">
        <v>710</v>
      </c>
      <c r="Q182" s="10" t="s">
        <v>193</v>
      </c>
      <c r="R182" s="10">
        <v>98826.0</v>
      </c>
      <c r="S182" s="10" t="s">
        <v>47</v>
      </c>
      <c r="T182" s="19">
        <v>117.8</v>
      </c>
      <c r="U182" s="32">
        <v>0.09421296296296296</v>
      </c>
      <c r="V182" s="18">
        <v>78.28</v>
      </c>
      <c r="W182" s="4"/>
      <c r="X182" s="4" t="str">
        <f t="shared" si="5"/>
        <v>N/A</v>
      </c>
      <c r="Y182" s="4"/>
      <c r="Z182" s="4" t="s">
        <v>38</v>
      </c>
      <c r="AA182" s="4"/>
      <c r="AB182" s="4" t="s">
        <v>711</v>
      </c>
      <c r="AE182" s="4"/>
      <c r="AF182" s="14" t="s">
        <v>712</v>
      </c>
    </row>
    <row r="183" hidden="1">
      <c r="A183" s="3" t="s">
        <v>695</v>
      </c>
      <c r="B183" s="4" t="s">
        <v>713</v>
      </c>
      <c r="C183" s="4" t="s">
        <v>697</v>
      </c>
      <c r="D183" s="4"/>
      <c r="E183" s="3" t="s">
        <v>43</v>
      </c>
      <c r="F183" s="4" t="s">
        <v>713</v>
      </c>
      <c r="G183" s="6" t="str">
        <f t="shared" si="1"/>
        <v>Link</v>
      </c>
      <c r="H183" s="3" t="s">
        <v>187</v>
      </c>
      <c r="I183" s="8" t="str">
        <f t="shared" si="2"/>
        <v>{"address_components":[{"long_name":"Hood River","types":["locality","political"],"short_name":"Hood River"},{"short_name":"Hood River County","long_name":"Hood River County","types":["administrative_area_level_2","political"]},{"short_name":"OR","long_name":"Oregon","types":["administrative_area_level_1","political"]},{"long_name":"United States","short_name":"US","types":["country","political"]},{"types":["postal_code"],"long_name":"97031","short_name":"97031"},{"short_name":"115","long_name":"115","types":["street_number"]},{"short_name":"Oak St","types":["route"],"long_name":"Oak Street"},{"long_name":"Hood River","short_name":"Hood River","types":["locality","political"]},{"long_name":"Hood River County","short_name":"Hood River County","types":["administrative_area_level_2","political"]},{"short_name":"OR","long_name":"Oregon","types":["administrative_area_level_1","political"]},{"types":["country","political"],"short_name":"US","long_name":"United States"},{"short_name":"97031","long_name":"97031","types":["postal_code"]},{"types":["latitude"],"long_name":45.70885699999999,"short_name":45.70885699999999},{"types":["longitude"],"long_name":-121.5122706,"short_name":-121.5122706}]}</v>
      </c>
      <c r="J183" s="8" t="str">
        <f t="shared" si="3"/>
        <v>[{"long_name":"Hood River","types":["locality","political"],"short_name":"Hood River"},{"short_name":"Hood River County","long_name":"Hood River County","types":["administrative_area_level_2","political"]},{"short_name":"OR","long_name":"Oregon","types":["administrative_area_level_1","political"]},{"long_name":"United States","short_name":"US","types":["country","political"]},{"types":["postal_code"],"long_name":"97031","short_name":"97031"},{"short_name":"115","long_name":"115","types":["street_number"]},{"short_name":"Oak St","types":["route"],"long_name":"Oak Street"},{"long_name":"Hood River","short_name":"Hood River","types":["locality","political"]},{"long_name":"Hood River County","short_name":"Hood River County","types":["administrative_area_level_2","political"]},{"short_name":"OR","long_name":"Oregon","types":["administrative_area_level_1","political"]},{"types":["country","political"],"short_name":"US","long_name":"United States"},{"short_name":"97031","long_name":"97031","types":["postal_code"]},{"types":["latitude"],"long_name":45.70885699999999,"short_name":45.70885699999999},{"types":["longitude"],"long_name":-121.5122706,"short_name":-121.5122706},{"types":["debug_info","cache_load_result"],"long_name":"hit","short_name":"hit"}]</v>
      </c>
      <c r="K183" s="9" t="b">
        <f t="shared" si="254"/>
        <v>0</v>
      </c>
      <c r="L183" s="8" t="b">
        <f t="shared" si="4"/>
        <v>1</v>
      </c>
      <c r="M183" s="15" t="b">
        <v>1</v>
      </c>
      <c r="N183" s="10">
        <v>45.7067985</v>
      </c>
      <c r="O183" s="10">
        <v>-121.528087</v>
      </c>
      <c r="P183" s="10" t="s">
        <v>714</v>
      </c>
      <c r="Q183" s="10" t="s">
        <v>460</v>
      </c>
      <c r="R183" s="10">
        <v>97031.0</v>
      </c>
      <c r="S183" s="10" t="s">
        <v>47</v>
      </c>
      <c r="T183" s="19">
        <v>227.7</v>
      </c>
      <c r="U183" s="32">
        <v>0.16131944444444443</v>
      </c>
      <c r="V183" s="18">
        <v>137.32</v>
      </c>
      <c r="W183" s="4"/>
      <c r="X183" s="4" t="str">
        <f t="shared" si="5"/>
        <v>N/A</v>
      </c>
      <c r="Y183" s="4"/>
      <c r="Z183" s="4" t="s">
        <v>38</v>
      </c>
      <c r="AA183" s="4"/>
      <c r="AB183" s="4" t="s">
        <v>715</v>
      </c>
      <c r="AE183" s="4"/>
      <c r="AF183" s="14" t="s">
        <v>716</v>
      </c>
    </row>
    <row r="184" hidden="1">
      <c r="A184" s="3" t="s">
        <v>695</v>
      </c>
      <c r="B184" s="4" t="s">
        <v>717</v>
      </c>
      <c r="C184" s="4" t="s">
        <v>697</v>
      </c>
      <c r="D184" s="4"/>
      <c r="E184" s="3" t="s">
        <v>43</v>
      </c>
      <c r="F184" s="4" t="s">
        <v>718</v>
      </c>
      <c r="G184" s="6" t="str">
        <f t="shared" si="1"/>
        <v>Link</v>
      </c>
      <c r="H184" s="3" t="s">
        <v>187</v>
      </c>
      <c r="I184" s="8" t="str">
        <f t="shared" si="2"/>
        <v>{"address_components":[{"long_name":"Vashon","types":["locality","political"],"short_name":"Vashon"},{"long_name":"King County","types":["administrative_area_level_2","political"],"short_name":"King County"},{"long_name":"Washington","short_name":"WA","types":["administrative_area_level_1","political"]},{"types":["country","political"],"short_name":"US","long_name":"United States"},{"long_name":"9815","short_name":"9815","types":["street_number"]},{"long_name":"Southwest Bank Road","short_name":"SW Bank Rd","types":["route"]},{"long_name":"Vashon","types":["locality","political"],"short_name":"Vashon"},{"long_name":"King County","short_name":"King County","types":["administrative_area_level_2","political"]},{"long_name":"Washington","short_name":"WA","types":["administrative_area_level_1","political"]},{"short_name":"US","types":["country","political"],"long_name":"United States"},{"short_name":"98070","types":["postal_code"],"long_name":"98070"},{"types":["latitude"],"long_name":47.4473204,"short_name":47.4473204},{"types":["longitude"],"long_name":-122.4598502,"short_name":-122.4598502}]}</v>
      </c>
      <c r="J184" s="8" t="str">
        <f t="shared" si="3"/>
        <v>[{"long_name":"Vashon","types":["locality","political"],"short_name":"Vashon"},{"long_name":"King County","types":["administrative_area_level_2","political"],"short_name":"King County"},{"long_name":"Washington","short_name":"WA","types":["administrative_area_level_1","political"]},{"types":["country","political"],"short_name":"US","long_name":"United States"},{"long_name":"9815","short_name":"9815","types":["street_number"]},{"long_name":"Southwest Bank Road","short_name":"SW Bank Rd","types":["route"]},{"long_name":"Vashon","types":["locality","political"],"short_name":"Vashon"},{"long_name":"King County","short_name":"King County","types":["administrative_area_level_2","political"]},{"long_name":"Washington","short_name":"WA","types":["administrative_area_level_1","political"]},{"short_name":"US","types":["country","political"],"long_name":"United States"},{"short_name":"98070","types":["postal_code"],"long_name":"98070"},{"types":["latitude"],"long_name":47.4473204,"short_name":47.4473204},{"types":["longitude"],"long_name":-122.4598502,"short_name":-122.4598502},{"types":["debug_info","cache_load_result"],"long_name":"hit","short_name":"hit"}]</v>
      </c>
      <c r="K184" s="9" t="b">
        <f t="shared" si="254"/>
        <v>0</v>
      </c>
      <c r="L184" s="8" t="b">
        <f t="shared" si="4"/>
        <v>1</v>
      </c>
      <c r="M184" s="10" t="b">
        <v>1</v>
      </c>
      <c r="N184" s="10">
        <v>47.4473204</v>
      </c>
      <c r="O184" s="10">
        <v>-122.4598502</v>
      </c>
      <c r="P184" s="10" t="s">
        <v>719</v>
      </c>
      <c r="Q184" s="10" t="s">
        <v>193</v>
      </c>
      <c r="R184" s="10">
        <v>98070.0</v>
      </c>
      <c r="S184" s="10" t="s">
        <v>47</v>
      </c>
      <c r="T184" s="19">
        <v>19.7</v>
      </c>
      <c r="U184" s="32">
        <v>0.048125</v>
      </c>
      <c r="V184" s="18">
        <v>12.78</v>
      </c>
      <c r="W184" s="4" t="s">
        <v>720</v>
      </c>
      <c r="X184" s="4" t="str">
        <f t="shared" si="5"/>
        <v>N/A</v>
      </c>
      <c r="Y184" s="4"/>
      <c r="Z184" s="4" t="s">
        <v>38</v>
      </c>
      <c r="AA184" s="4"/>
      <c r="AB184" s="14" t="s">
        <v>706</v>
      </c>
      <c r="AE184" s="4"/>
      <c r="AF184" s="4" t="s">
        <v>721</v>
      </c>
    </row>
    <row r="185" hidden="1">
      <c r="A185" s="3" t="s">
        <v>695</v>
      </c>
      <c r="B185" s="4" t="s">
        <v>722</v>
      </c>
      <c r="C185" s="4"/>
      <c r="D185" s="4"/>
      <c r="E185" s="3" t="s">
        <v>43</v>
      </c>
      <c r="F185" s="4" t="s">
        <v>723</v>
      </c>
      <c r="G185" s="6" t="str">
        <f t="shared" si="1"/>
        <v>Link</v>
      </c>
      <c r="H185" s="3" t="s">
        <v>219</v>
      </c>
      <c r="I185" s="8" t="str">
        <f t="shared" si="2"/>
        <v>{"address_components":[{"short_name":"1026","long_name":"1026","types":["street_number"]},{"long_name":"North Main Street","short_name":"N Main St","types":["route"]},{"long_name":"Ketchum","short_name":"Ketchum","types":["locality","political"]},{"long_name":"Blaine County","short_name":"Blaine County","types":["administrative_area_level_2","political"]},{"short_name":"ID","long_name":"Idaho","types":["administrative_area_level_1","political"]},{"types":["country","political"],"short_name":"US","long_name":"United States"},{"long_name":"83340","types":["postal_code"],"short_name":"83340"},{"types":["street_number"],"long_name":"1026","short_name":"1026"},{"types":["route"],"long_name":"North Main Street","short_name":"N Main St"},{"short_name":"Ketchum","long_name":"Ketchum","types":["locality","political"]},{"types":["administrative_area_level_2","political"],"long_name":"Blaine County","short_name":"Blaine County"},{"short_name":"ID","long_name":"Idaho","types":["administrative_area_level_1","political"]},{"long_name":"United States","short_name":"US","types":["country","political"]},{"long_name":"83340","short_name":"83340","types":["postal_code"]},{"types":["latitude"],"long_name":43.6871237,"short_name":43.6871237},{"types":["longitude"],"long_name":-114.3663803,"short_name":-114.3663803}]}</v>
      </c>
      <c r="J185" s="8" t="str">
        <f t="shared" si="3"/>
        <v>[{"short_name":"1026","long_name":"1026","types":["street_number"]},{"long_name":"North Main Street","short_name":"N Main St","types":["route"]},{"long_name":"Ketchum","short_name":"Ketchum","types":["locality","political"]},{"long_name":"Blaine County","short_name":"Blaine County","types":["administrative_area_level_2","political"]},{"short_name":"ID","long_name":"Idaho","types":["administrative_area_level_1","political"]},{"types":["country","political"],"short_name":"US","long_name":"United States"},{"long_name":"83340","types":["postal_code"],"short_name":"83340"},{"types":["street_number"],"long_name":"1026","short_name":"1026"},{"types":["route"],"long_name":"North Main Street","short_name":"N Main St"},{"short_name":"Ketchum","long_name":"Ketchum","types":["locality","political"]},{"types":["administrative_area_level_2","political"],"long_name":"Blaine County","short_name":"Blaine County"},{"short_name":"ID","long_name":"Idaho","types":["administrative_area_level_1","political"]},{"long_name":"United States","short_name":"US","types":["country","political"]},{"long_name":"83340","short_name":"83340","types":["postal_code"]},{"types":["latitude"],"long_name":43.6871237,"short_name":43.6871237},{"types":["longitude"],"long_name":-114.3663803,"short_name":-114.3663803},{"types":["debug_info","cache_load_result"],"long_name":"hit","short_name":"hit"}]</v>
      </c>
      <c r="K185" s="9" t="b">
        <f t="shared" si="254"/>
        <v>0</v>
      </c>
      <c r="L185" s="8" t="b">
        <f t="shared" si="4"/>
        <v>1</v>
      </c>
      <c r="M185" s="10" t="b">
        <v>1</v>
      </c>
      <c r="N185" s="10">
        <v>43.6871166</v>
      </c>
      <c r="O185" s="10">
        <v>-114.3663803</v>
      </c>
      <c r="P185" s="10" t="s">
        <v>724</v>
      </c>
      <c r="Q185" s="10" t="s">
        <v>555</v>
      </c>
      <c r="R185" s="10">
        <v>83340.0</v>
      </c>
      <c r="S185" s="10" t="s">
        <v>47</v>
      </c>
      <c r="T185" s="19">
        <v>645.9</v>
      </c>
      <c r="U185" s="32">
        <v>0.4350347222222222</v>
      </c>
      <c r="V185" s="18">
        <v>470.79</v>
      </c>
      <c r="X185" s="4" t="str">
        <f t="shared" si="5"/>
        <v>N/A</v>
      </c>
      <c r="Z185" s="4" t="s">
        <v>38</v>
      </c>
    </row>
    <row r="186">
      <c r="A186" s="3" t="s">
        <v>695</v>
      </c>
      <c r="B186" s="4" t="s">
        <v>725</v>
      </c>
      <c r="C186" s="41"/>
      <c r="D186" s="41"/>
      <c r="E186" s="3" t="s">
        <v>43</v>
      </c>
      <c r="F186" s="41" t="s">
        <v>725</v>
      </c>
      <c r="G186" s="6" t="str">
        <f t="shared" si="1"/>
        <v>Link</v>
      </c>
      <c r="H186" s="3" t="s">
        <v>323</v>
      </c>
      <c r="I186" s="8" t="str">
        <f t="shared" si="2"/>
        <v>{"address_components":[{"short_name":"SeaTac","types":["locality","political"],"long_name":"SeaTac"},{"long_name":"King County","types":["administrative_area_level_2","political"],"short_name":"King County"},{"long_name":"Washington","short_name":"WA","types":["administrative_area_level_1","political"]},{"long_name":"United States","types":["country","political"],"short_name":"US"},{"long_name":"98168","types":["postal_code"],"short_name":"98168"},{"long_name":"FMHR+RP","short_name":"FMHR+RP","types":["plus_code"]},{"long_name":"SeaTac","types":["locality","political"],"short_name":"SeaTac"},{"short_name":"King County","types":["administrative_area_level_2","political"],"long_name":"King County"},{"types":["administrative_area_level_1","political"],"short_name":"WA","long_name":"Washington"},{"long_name":"United States","short_name":"US","types":["country","political"]},{"types":["latitude"],"long_name":47.4795136,"short_name":47.4795136},{"types":["longitude"],"long_name":-122.3082,"short_name":-122.3082}],"distance_from":{"mi":{"driving":{"2116 4th Ave, Seattle, WA, 98121":11.77439198677719},"flying":{"2116 4th Ave, Seattle, WA, 98121":9.45232206991686}}},"duration_from":{"days":{"driving":{"2116 4th Ave, Seattle, WA, 98121":0.014780092592592595}}}}</v>
      </c>
      <c r="J186" s="8" t="str">
        <f t="shared" si="3"/>
        <v>[{"short_name":"SeaTac","types":["locality","political"],"long_name":"SeaTac"},{"long_name":"King County","types":["administrative_area_level_2","political"],"short_name":"King County"},{"long_name":"Washington","short_name":"WA","types":["administrative_area_level_1","political"]},{"long_name":"United States","types":["country","political"],"short_name":"US"},{"long_name":"98168","types":["postal_code"],"short_name":"98168"},{"long_name":"FMHR+RP","short_name":"FMHR+RP","types":["plus_code"]},{"long_name":"SeaTac","types":["locality","political"],"short_name":"SeaTac"},{"short_name":"King County","types":["administrative_area_level_2","political"],"long_name":"King County"},{"types":["administrative_area_level_1","political"],"short_name":"WA","long_name":"Washington"},{"long_name":"United States","short_name":"US","types":["country","political"]},{"types":["latitude"],"long_name":47.4795136,"short_name":47.4795136},{"types":["longitude"],"long_name":-122.3082,"short_name":-122.3082},{"types":["debug_info","cache_load_result"],"long_name":"hit","short_name":"hit"}]</v>
      </c>
      <c r="K186" s="9" t="b">
        <f t="shared" ref="K186:K189" si="255">NOT(AND(NOT(_xlfn.ISFORMULA(P186)),AND(NOT(_xlfn.ISFORMULA(Q186)),AND(NOT(_xlfn.ISFORMULA(R186)),AND(NOT(_xlfn.ISFORMULA(S186)),AND(NOT(_xlfn.ISFORMULA(T186)),AND(NOT(_xlfn.ISFORMULA(U186)),AND(NOT(_xlfn.ISFORMULA(V186))))))))))</f>
        <v>1</v>
      </c>
      <c r="L186" s="8" t="b">
        <f t="shared" si="4"/>
        <v>0</v>
      </c>
      <c r="M186" s="10" t="b">
        <v>1</v>
      </c>
      <c r="N186" s="8">
        <f t="shared" ref="N186:N189" si="256">GOOGLEMAPS_GET_ADDRESS_LATITUDE(F186,true)</f>
        <v>47.4795136</v>
      </c>
      <c r="O186" s="8">
        <f t="shared" ref="O186:O189" si="257">GOOGLEMAPS_GET_ADDRESS_LONGITUDE(F186,true)</f>
        <v>-122.3082</v>
      </c>
      <c r="P186" s="8" t="str">
        <f t="shared" ref="P186:P189" si="258">GOOGLEMAPS_GET_ADDRESS_CITY(F186,true,false)</f>
        <v>SeaTac</v>
      </c>
      <c r="Q186" s="8" t="str">
        <f t="shared" ref="Q186:Q189" si="259">GOOGLEMAPS_GET_ADDRESS_STATE(F186,true,false)</f>
        <v>Washington</v>
      </c>
      <c r="R186" s="8" t="str">
        <f t="shared" ref="R186:R189" si="260">GOOGLEMAPS_GET_ADDRESS_POSTAL_CODE(F186,false,false)</f>
        <v>98168</v>
      </c>
      <c r="S186" s="8" t="str">
        <f t="shared" ref="S186:S189" si="261">GOOGLEMAPS_GET_ADDRESS_COUNTRY(F186,true,false)</f>
        <v>United States</v>
      </c>
      <c r="T186" s="11">
        <f t="shared" ref="T186:T189" si="262">IFERROR(GOOGLEMAPS_DISTANCE("2116 4th Ave, Seattle, WA, 98121", F186, "driving")+0,"Not Driveable")</f>
        <v>11.77439199</v>
      </c>
      <c r="U186" s="12">
        <f t="shared" ref="U186:U189" si="263">iferror(GOOGLEMAPS_DURATION("2116 4th Ave, Seattle, WA, 98121", F186, "driving")+0,"Not Driveable")</f>
        <v>0.01478009259</v>
      </c>
      <c r="V186" s="13">
        <f t="shared" ref="V186:V189" si="264">GOOGLEMAPS_DISTANCE("2116 4th Ave, Seattle, WA, 98121", F186, "flying")+0</f>
        <v>9.45232207</v>
      </c>
      <c r="X186" s="4" t="str">
        <f t="shared" si="5"/>
        <v>N/A</v>
      </c>
      <c r="Z186" s="4" t="s">
        <v>38</v>
      </c>
    </row>
    <row r="187" hidden="1">
      <c r="A187" s="3" t="s">
        <v>695</v>
      </c>
      <c r="B187" s="4" t="s">
        <v>726</v>
      </c>
      <c r="E187" s="3" t="s">
        <v>43</v>
      </c>
      <c r="F187" s="4" t="s">
        <v>727</v>
      </c>
      <c r="G187" s="6" t="str">
        <f t="shared" si="1"/>
        <v>Link</v>
      </c>
      <c r="H187" s="3" t="s">
        <v>219</v>
      </c>
      <c r="I187" s="8" t="str">
        <f t="shared" si="2"/>
        <v>{"address_components":[{"types":["premise"],"long_name":"Chief Seattle's Grave","short_name":"Chief Seattle's Grave"},{"types":["route"],"long_name":"Northeast South Street","short_name":"NE South St"},{"types":["locality","political"],"long_name":"Suquamish","short_name":"Suquamish"},{"types":["administrative_area_level_2","political"],"long_name":"Kitsap County","short_name":"Kitsap County"},{"long_name":"Washington","short_name":"WA","types":["administrative_area_level_1","political"]},{"long_name":"United States","short_name":"US","types":["country","political"]},{"types":["postal_code"],"long_name":"98392","short_name":"98392"},{"types":["street_number"],"long_name":"7076","short_name":"7076"},{"long_name":"Northeast South Street","short_name":"NE South St","types":["route"]},{"long_name":"Suquamish","short_name":"Suquamish","types":["locality","political"]},{"long_name":"Kitsap County","short_name":"Kitsap County","types":["administrative_area_level_2","political"]},{"types":["administrative_area_level_1","political"],"long_name":"Washington","short_name":"WA"},{"long_name":"United States","short_name":"US","types":["country","political"]},{"types":["postal_code"],"long_name":"98392","short_name":"98392"},{"types":["latitude"],"long_name":47.7305454,"short_name":47.7305454},{"types":["longitude"],"long_name":-122.55521,"short_name":-122.55521}],"distance_from":{"mi":{"flying":{"2116 4th Ave, Seattle, WA, 98121":12.76734561994358},"driving":{"2116 4th Ave, Seattle, WA, 98121":19.574483949942213}}},"duration_from":{"days":{"driving":{"2116 4th Ave, Seattle, WA, 98121":0.052488425925925924}}}}</v>
      </c>
      <c r="J187" s="8" t="str">
        <f t="shared" si="3"/>
        <v>[{"types":["premise"],"long_name":"Chief Seattle's Grave","short_name":"Chief Seattle's Grave"},{"types":["route"],"long_name":"Northeast South Street","short_name":"NE South St"},{"types":["locality","political"],"long_name":"Suquamish","short_name":"Suquamish"},{"types":["administrative_area_level_2","political"],"long_name":"Kitsap County","short_name":"Kitsap County"},{"long_name":"Washington","short_name":"WA","types":["administrative_area_level_1","political"]},{"long_name":"United States","short_name":"US","types":["country","political"]},{"types":["postal_code"],"long_name":"98392","short_name":"98392"},{"types":["street_number"],"long_name":"7076","short_name":"7076"},{"long_name":"Northeast South Street","short_name":"NE South St","types":["route"]},{"long_name":"Suquamish","short_name":"Suquamish","types":["locality","political"]},{"long_name":"Kitsap County","short_name":"Kitsap County","types":["administrative_area_level_2","political"]},{"types":["administrative_area_level_1","political"],"long_name":"Washington","short_name":"WA"},{"long_name":"United States","short_name":"US","types":["country","political"]},{"types":["postal_code"],"long_name":"98392","short_name":"98392"},{"types":["latitude"],"long_name":47.7305454,"short_name":47.7305454},{"types":["longitude"],"long_name":-122.55521,"short_name":-122.55521},{"types":["debug_info","cache_load_result"],"long_name":"hit","short_name":"hit"}]</v>
      </c>
      <c r="K187" s="9" t="b">
        <f t="shared" si="255"/>
        <v>1</v>
      </c>
      <c r="L187" s="8" t="b">
        <f t="shared" si="4"/>
        <v>0</v>
      </c>
      <c r="M187" s="10" t="b">
        <v>1</v>
      </c>
      <c r="N187" s="8">
        <f t="shared" si="256"/>
        <v>47.7305454</v>
      </c>
      <c r="O187" s="8">
        <f t="shared" si="257"/>
        <v>-122.55521</v>
      </c>
      <c r="P187" s="8" t="str">
        <f t="shared" si="258"/>
        <v>Suquamish</v>
      </c>
      <c r="Q187" s="8" t="str">
        <f t="shared" si="259"/>
        <v>Washington</v>
      </c>
      <c r="R187" s="8" t="str">
        <f t="shared" si="260"/>
        <v>98392</v>
      </c>
      <c r="S187" s="8" t="str">
        <f t="shared" si="261"/>
        <v>United States</v>
      </c>
      <c r="T187" s="11">
        <f t="shared" si="262"/>
        <v>19.57448395</v>
      </c>
      <c r="U187" s="12">
        <f t="shared" si="263"/>
        <v>0.05248842593</v>
      </c>
      <c r="V187" s="13">
        <f t="shared" si="264"/>
        <v>12.76734562</v>
      </c>
      <c r="W187" s="4"/>
      <c r="X187" s="4" t="str">
        <f t="shared" si="5"/>
        <v>N/A</v>
      </c>
      <c r="Y187" s="4"/>
      <c r="Z187" s="4" t="s">
        <v>38</v>
      </c>
    </row>
    <row r="188" hidden="1">
      <c r="A188" s="3" t="s">
        <v>695</v>
      </c>
      <c r="B188" s="4" t="s">
        <v>728</v>
      </c>
      <c r="E188" s="3" t="s">
        <v>43</v>
      </c>
      <c r="F188" s="4" t="s">
        <v>729</v>
      </c>
      <c r="G188" s="6" t="str">
        <f t="shared" si="1"/>
        <v>Link</v>
      </c>
      <c r="H188" s="3" t="s">
        <v>219</v>
      </c>
      <c r="I188" s="8" t="str">
        <f t="shared" si="2"/>
        <v>{"address_components":[{"long_name":"Anzob Tunnel","short_name":"Anzob Tunnel","types":["route"]},{"types":["administrative_area_level_2","political"],"long_name":"Ayni","short_name":"Ayni"},{"long_name":"Vilojati Suƣd","short_name":"Vilojati Suƣd","types":["administrative_area_level_1","political"]},{"types":["country","political"],"long_name":"Tajikistan","short_name":"TJ"},{"long_name":"Anzob Tunnel","short_name":"M34","types":["route"]},{"types":["administrative_area_level_2","political"],"short_name":"Ayni","long_name":"Ayni"},{"short_name":"Vilojati Suƣd","types":["administrative_area_level_1","political"],"long_name":"Vilojati Suƣd"},{"long_name":"Tajikistan","short_name":"TJ","types":["country","political"]},{"types":["latitude"],"long_name":39.0704857,"short_name":39.0704857},{"types":["longitude"],"long_name":68.6972761,"short_name":68.6972761}],"duration_from":{"days":{"driving":{"2116 4th Ave, Seattle, WA, 98121":"GOOGLE_MAPS_ERROR_CACHED - No route found!"}}},"distance_from":{"mi":{"driving":{"2116 4th Ave, Seattle, WA, 98121":"GOOGLE_MAPS_ERROR_CACHED - No route found!"},"flying":{"2116 4th Ave, Seattle, WA, 98121":6409.075148818771}}}}</v>
      </c>
      <c r="J188" s="8" t="str">
        <f t="shared" si="3"/>
        <v>[{"long_name":"Anzob Tunnel","short_name":"Anzob Tunnel","types":["route"]},{"types":["administrative_area_level_2","political"],"long_name":"Ayni","short_name":"Ayni"},{"long_name":"Vilojati Suƣd","short_name":"Vilojati Suƣd","types":["administrative_area_level_1","political"]},{"types":["country","political"],"long_name":"Tajikistan","short_name":"TJ"},{"long_name":"Anzob Tunnel","short_name":"M34","types":["route"]},{"types":["administrative_area_level_2","political"],"short_name":"Ayni","long_name":"Ayni"},{"short_name":"Vilojati Suƣd","types":["administrative_area_level_1","political"],"long_name":"Vilojati Suƣd"},{"long_name":"Tajikistan","short_name":"TJ","types":["country","political"]},{"types":["latitude"],"long_name":39.0704857,"short_name":39.0704857},{"types":["longitude"],"long_name":68.6972761,"short_name":68.6972761},{"types":["debug_info","cache_load_result"],"long_name":"hit","short_name":"hit"}]</v>
      </c>
      <c r="K188" s="9" t="b">
        <f t="shared" si="255"/>
        <v>1</v>
      </c>
      <c r="L188" s="8" t="b">
        <f t="shared" si="4"/>
        <v>0</v>
      </c>
      <c r="M188" s="10" t="b">
        <v>1</v>
      </c>
      <c r="N188" s="8">
        <f t="shared" si="256"/>
        <v>39.0704857</v>
      </c>
      <c r="O188" s="8">
        <f t="shared" si="257"/>
        <v>68.6972761</v>
      </c>
      <c r="P188" s="8" t="str">
        <f t="shared" si="258"/>
        <v>UNDEFINED</v>
      </c>
      <c r="Q188" s="8" t="str">
        <f t="shared" si="259"/>
        <v>Vilojati Suƣd</v>
      </c>
      <c r="R188" s="8" t="str">
        <f t="shared" si="260"/>
        <v>UNDEFINED</v>
      </c>
      <c r="S188" s="8" t="str">
        <f t="shared" si="261"/>
        <v>Tajikistan</v>
      </c>
      <c r="T188" s="11" t="str">
        <f t="shared" si="262"/>
        <v>Not Driveable</v>
      </c>
      <c r="U188" s="12" t="str">
        <f t="shared" si="263"/>
        <v>Not Driveable</v>
      </c>
      <c r="V188" s="13">
        <f t="shared" si="264"/>
        <v>6409.075149</v>
      </c>
      <c r="X188" s="4" t="str">
        <f t="shared" si="5"/>
        <v>N/A</v>
      </c>
      <c r="Y188" s="4"/>
      <c r="Z188" s="4" t="s">
        <v>38</v>
      </c>
    </row>
    <row r="189">
      <c r="A189" s="3" t="s">
        <v>695</v>
      </c>
      <c r="B189" s="4" t="s">
        <v>730</v>
      </c>
      <c r="C189" s="4"/>
      <c r="D189" s="4"/>
      <c r="E189" s="5"/>
      <c r="F189" s="4" t="s">
        <v>731</v>
      </c>
      <c r="G189" s="6" t="str">
        <f t="shared" si="1"/>
        <v>Link</v>
      </c>
      <c r="H189" s="3" t="s">
        <v>323</v>
      </c>
      <c r="I189" s="8" t="str">
        <f t="shared" si="2"/>
        <v>{"address_components":[{"types":["route"],"long_name":"Iron Goat Trail","short_name":"Iron Goat Trail"},{"short_name":"King County","types":["administrative_area_level_2","political"],"long_name":"King County"},{"long_name":"Washington","short_name":"WA","types":["administrative_area_level_1","political"]},{"short_name":"US","types":["country","political"],"long_name":"United States"},{"short_name":"98826","types":["postal_code"],"long_name":"98826"},{"long_name":"Iron Goat Trail","short_name":"Iron Goat Trail","types":["route"]},{"short_name":"Leavenworth","types":["locality","political"],"long_name":"Leavenworth"},{"long_name":"King County","short_name":"King County","types":["administrative_area_level_2","political"]},{"long_name":"Washington","short_name":"WA","types":["administrative_area_level_1","political"]},{"short_name":"US","types":["country","political"],"long_name":"United States"},{"long_name":"98826","types":["postal_code"],"short_name":"98826"},{"types":["latitude"],"long_name":47.718846,"short_name":47.718846},{"types":["longitude"],"long_name":-121.1708393,"short_name":-121.1708393}],"distance_from":{"mi":{"driving":{"2116 4th Ave, Seattle, WA, 98121":76.16414182211342},"flying":{"2116 4th Ave, Seattle, WA, 98121":54.957311692992164}}},"duration_from":{"days":{"driving":{"2116 4th Ave, Seattle, WA, 98121":0.0690162037037037}}}}</v>
      </c>
      <c r="J189" s="8" t="str">
        <f t="shared" si="3"/>
        <v>[{"types":["route"],"long_name":"Iron Goat Trail","short_name":"Iron Goat Trail"},{"short_name":"King County","types":["administrative_area_level_2","political"],"long_name":"King County"},{"long_name":"Washington","short_name":"WA","types":["administrative_area_level_1","political"]},{"short_name":"US","types":["country","political"],"long_name":"United States"},{"short_name":"98826","types":["postal_code"],"long_name":"98826"},{"long_name":"Iron Goat Trail","short_name":"Iron Goat Trail","types":["route"]},{"short_name":"Leavenworth","types":["locality","political"],"long_name":"Leavenworth"},{"long_name":"King County","short_name":"King County","types":["administrative_area_level_2","political"]},{"long_name":"Washington","short_name":"WA","types":["administrative_area_level_1","political"]},{"short_name":"US","types":["country","political"],"long_name":"United States"},{"long_name":"98826","types":["postal_code"],"short_name":"98826"},{"types":["latitude"],"long_name":47.718846,"short_name":47.718846},{"types":["longitude"],"long_name":-121.1708393,"short_name":-121.1708393},{"types":["debug_info","cache_load_result"],"long_name":"hit","short_name":"hit"}]</v>
      </c>
      <c r="K189" s="9" t="b">
        <f t="shared" si="255"/>
        <v>1</v>
      </c>
      <c r="L189" s="8" t="b">
        <f t="shared" si="4"/>
        <v>0</v>
      </c>
      <c r="M189" s="10" t="b">
        <v>1</v>
      </c>
      <c r="N189" s="8">
        <f t="shared" si="256"/>
        <v>47.718846</v>
      </c>
      <c r="O189" s="8">
        <f t="shared" si="257"/>
        <v>-121.1708393</v>
      </c>
      <c r="P189" s="8" t="str">
        <f t="shared" si="258"/>
        <v>Leavenworth</v>
      </c>
      <c r="Q189" s="8" t="str">
        <f t="shared" si="259"/>
        <v>Washington</v>
      </c>
      <c r="R189" s="8" t="str">
        <f t="shared" si="260"/>
        <v>98826</v>
      </c>
      <c r="S189" s="8" t="str">
        <f t="shared" si="261"/>
        <v>United States</v>
      </c>
      <c r="T189" s="11">
        <f t="shared" si="262"/>
        <v>76.16414182</v>
      </c>
      <c r="U189" s="12">
        <f t="shared" si="263"/>
        <v>0.0690162037</v>
      </c>
      <c r="V189" s="13">
        <f t="shared" si="264"/>
        <v>54.95731169</v>
      </c>
      <c r="W189" s="4"/>
      <c r="X189" s="4" t="str">
        <f t="shared" si="5"/>
        <v>N/A</v>
      </c>
      <c r="Y189" s="4"/>
      <c r="Z189" s="4" t="s">
        <v>38</v>
      </c>
      <c r="AA189" s="4"/>
      <c r="AB189" s="14" t="s">
        <v>732</v>
      </c>
      <c r="AC189" s="14" t="s">
        <v>348</v>
      </c>
      <c r="AD189" s="4"/>
    </row>
    <row r="190" hidden="1">
      <c r="A190" s="3" t="s">
        <v>695</v>
      </c>
      <c r="B190" s="4" t="s">
        <v>733</v>
      </c>
      <c r="C190" s="4"/>
      <c r="D190" s="4"/>
      <c r="E190" s="3" t="s">
        <v>159</v>
      </c>
      <c r="F190" s="4" t="s">
        <v>734</v>
      </c>
      <c r="G190" s="6" t="str">
        <f t="shared" si="1"/>
        <v>Link</v>
      </c>
      <c r="H190" s="3" t="s">
        <v>219</v>
      </c>
      <c r="I190" s="8" t="str">
        <f t="shared" si="2"/>
        <v>{"address_components":[{"short_name":"Chico Hot Springs","types":["neighborhood","political"],"long_name":"Chico Hot Springs"},{"long_name":"Pray","short_name":"Pray","types":["locality","political"]},{"short_name":"Park County","types":["administrative_area_level_2","political"],"long_name":"Park County"},{"types":["administrative_area_level_1","political"],"short_name":"MT","long_name":"Montana"},{"long_name":"United States","short_name":"US","types":["country","political"]},{"types":["postal_code"],"long_name":"59065","short_name":"59065"},{"types":["street_number"],"short_name":"11","long_name":"11"},{"types":["route"],"long_name":"Dance Hall Hill Road","short_name":"Dance Hall Hill Rd"},{"long_name":"Emigrant","short_name":"Emigrant","types":["locality","political"]},{"long_name":"Park County","short_name":"Park County","types":["administrative_area_level_2","political"]},{"long_name":"Montana","short_name":"MT","types":["administrative_area_level_1","political"]},{"short_name":"US","types":["country","political"],"long_name":"United States"},{"types":["postal_code"],"long_name":"59027","short_name":"59027"},{"types":["latitude"],"long_name":45.3377145,"short_name":45.3377145},{"types":["longitude"],"long_name":-110.692156,"short_name":-110.692156}]}</v>
      </c>
      <c r="J190" s="8" t="str">
        <f t="shared" si="3"/>
        <v>[{"short_name":"Chico Hot Springs","types":["neighborhood","political"],"long_name":"Chico Hot Springs"},{"long_name":"Pray","short_name":"Pray","types":["locality","political"]},{"short_name":"Park County","types":["administrative_area_level_2","political"],"long_name":"Park County"},{"types":["administrative_area_level_1","political"],"short_name":"MT","long_name":"Montana"},{"long_name":"United States","short_name":"US","types":["country","political"]},{"types":["postal_code"],"long_name":"59065","short_name":"59065"},{"types":["street_number"],"short_name":"11","long_name":"11"},{"types":["route"],"long_name":"Dance Hall Hill Road","short_name":"Dance Hall Hill Rd"},{"long_name":"Emigrant","short_name":"Emigrant","types":["locality","political"]},{"long_name":"Park County","short_name":"Park County","types":["administrative_area_level_2","political"]},{"long_name":"Montana","short_name":"MT","types":["administrative_area_level_1","political"]},{"short_name":"US","types":["country","political"],"long_name":"United States"},{"types":["postal_code"],"long_name":"59027","short_name":"59027"},{"types":["latitude"],"long_name":45.3377145,"short_name":45.3377145},{"types":["longitude"],"long_name":-110.692156,"short_name":-110.692156},{"types":["debug_info","cache_load_result"],"long_name":"hit","short_name":"hit"}]</v>
      </c>
      <c r="K190" s="9" t="b">
        <f t="shared" ref="K190:K193" si="265">NOT(AND(NOT(_xlfn.ISFORMULA(P190)),AND(NOT(_xlfn.ISFORMULA(Q190)),AND(NOT(_xlfn.ISFORMULA(R190)),AND(NOT(_xlfn.ISFORMULA(S190)),AND(NOT(_xlfn.ISFORMULA(T190)),AND(NOT(_xlfn.ISFORMULA(U190)),AND(NOT(_xlfn.ISFORMULA(V190)),AND(NOT(_xlfn.ISFORMULA(N190)),NOT(_xlfn.ISFORMULA(O190)))))))))))</f>
        <v>0</v>
      </c>
      <c r="L190" s="8" t="b">
        <f t="shared" si="4"/>
        <v>1</v>
      </c>
      <c r="M190" s="10" t="b">
        <v>1</v>
      </c>
      <c r="N190" s="10">
        <v>45.3377145</v>
      </c>
      <c r="O190" s="10">
        <v>-110.692156</v>
      </c>
      <c r="P190" s="10" t="s">
        <v>735</v>
      </c>
      <c r="Q190" s="10" t="s">
        <v>593</v>
      </c>
      <c r="R190" s="10">
        <v>59065.0</v>
      </c>
      <c r="S190" s="10" t="s">
        <v>47</v>
      </c>
      <c r="T190" s="19">
        <v>725.1</v>
      </c>
      <c r="U190" s="32">
        <v>0.46715277777777775</v>
      </c>
      <c r="V190" s="18">
        <v>575.56</v>
      </c>
      <c r="X190" s="4" t="str">
        <f t="shared" si="5"/>
        <v>N/A</v>
      </c>
      <c r="Z190" s="4" t="s">
        <v>38</v>
      </c>
      <c r="AB190" s="14" t="s">
        <v>736</v>
      </c>
    </row>
    <row r="191" hidden="1">
      <c r="A191" s="34" t="s">
        <v>695</v>
      </c>
      <c r="B191" s="4" t="s">
        <v>737</v>
      </c>
      <c r="C191" s="4"/>
      <c r="D191" s="4"/>
      <c r="E191" s="3" t="s">
        <v>159</v>
      </c>
      <c r="F191" s="4" t="s">
        <v>738</v>
      </c>
      <c r="G191" s="6" t="str">
        <f t="shared" si="1"/>
        <v>Link</v>
      </c>
      <c r="H191" s="3" t="s">
        <v>219</v>
      </c>
      <c r="I191" s="8" t="str">
        <f t="shared" si="2"/>
        <v>{"address_components":[{"long_name":"770","short_name":"770","types":["street_number"]},{"short_name":"Las Vegas Blvd N","types":["route"],"long_name":"Las Vegas Boulevard North"},{"long_name":"Cultural Corridor Coalition","short_name":"Cultural Corridor Coalition","types":["neighborhood","political"]},{"short_name":"Las Vegas","types":["locality","political"],"long_name":"Las Vegas"},{"long_name":"Clark County","short_name":"Clark County","types":["administrative_area_level_2","political"]},{"long_name":"Nevada","types":["administrative_area_level_1","political"],"short_name":"NV"},{"long_name":"United States","short_name":"US","types":["country","political"]},{"long_name":"89101","short_name":"89101","types":["postal_code"]},{"short_name":"770","types":["street_number"],"long_name":"770"},{"short_name":"Las Vegas Blvd N","types":["route"],"long_name":"Las Vegas Boulevard North"},{"short_name":"Cultural Corridor Coalition","long_name":"Cultural Corridor Coalition","types":["neighborhood","political"]},{"short_name":"Las Vegas","types":["locality","political"],"long_name":"Las Vegas"},{"long_name":"Clark County","short_name":"Clark County","types":["administrative_area_level_2","political"]},{"types":["administrative_area_level_1","political"],"short_name":"NV","long_name":"Nevada"},{"long_name":"United States","short_name":"US","types":["country","political"]},{"long_name":"89101","short_name":"89101","types":["postal_code"]},{"types":["latitude"],"long_name":36.1768789,"short_name":36.1768789},{"types":["longitude"],"long_name":-115.1352622,"short_name":-115.1352622}]}</v>
      </c>
      <c r="J191" s="8" t="str">
        <f t="shared" si="3"/>
        <v>[{"long_name":"770","short_name":"770","types":["street_number"]},{"short_name":"Las Vegas Blvd N","types":["route"],"long_name":"Las Vegas Boulevard North"},{"long_name":"Cultural Corridor Coalition","short_name":"Cultural Corridor Coalition","types":["neighborhood","political"]},{"short_name":"Las Vegas","types":["locality","political"],"long_name":"Las Vegas"},{"long_name":"Clark County","short_name":"Clark County","types":["administrative_area_level_2","political"]},{"long_name":"Nevada","types":["administrative_area_level_1","political"],"short_name":"NV"},{"long_name":"United States","short_name":"US","types":["country","political"]},{"long_name":"89101","short_name":"89101","types":["postal_code"]},{"short_name":"770","types":["street_number"],"long_name":"770"},{"short_name":"Las Vegas Blvd N","types":["route"],"long_name":"Las Vegas Boulevard North"},{"short_name":"Cultural Corridor Coalition","long_name":"Cultural Corridor Coalition","types":["neighborhood","political"]},{"short_name":"Las Vegas","types":["locality","political"],"long_name":"Las Vegas"},{"long_name":"Clark County","short_name":"Clark County","types":["administrative_area_level_2","political"]},{"types":["administrative_area_level_1","political"],"short_name":"NV","long_name":"Nevada"},{"long_name":"United States","short_name":"US","types":["country","political"]},{"long_name":"89101","short_name":"89101","types":["postal_code"]},{"types":["latitude"],"long_name":36.1768789,"short_name":36.1768789},{"types":["longitude"],"long_name":-115.1352622,"short_name":-115.1352622},{"types":["debug_info","cache_load_result"],"long_name":"hit","short_name":"hit"}]</v>
      </c>
      <c r="K191" s="9" t="b">
        <f t="shared" si="265"/>
        <v>0</v>
      </c>
      <c r="L191" s="8" t="b">
        <f t="shared" si="4"/>
        <v>1</v>
      </c>
      <c r="M191" s="10" t="b">
        <v>1</v>
      </c>
      <c r="N191" s="10">
        <v>36.1769882</v>
      </c>
      <c r="O191" s="10">
        <v>-115.1353374</v>
      </c>
      <c r="P191" s="10" t="s">
        <v>739</v>
      </c>
      <c r="Q191" s="10" t="s">
        <v>740</v>
      </c>
      <c r="R191" s="10">
        <v>89101.0</v>
      </c>
      <c r="S191" s="10" t="s">
        <v>47</v>
      </c>
      <c r="T191" s="19">
        <v>1114.8</v>
      </c>
      <c r="U191" s="32">
        <v>0.7246064814814814</v>
      </c>
      <c r="V191" s="18">
        <v>871.9</v>
      </c>
      <c r="X191" s="4" t="str">
        <f t="shared" si="5"/>
        <v>N/A</v>
      </c>
      <c r="Z191" s="4" t="s">
        <v>38</v>
      </c>
      <c r="AB191" s="14" t="s">
        <v>741</v>
      </c>
    </row>
    <row r="192" hidden="1">
      <c r="A192" s="3" t="s">
        <v>695</v>
      </c>
      <c r="B192" s="4" t="s">
        <v>742</v>
      </c>
      <c r="C192" s="4" t="s">
        <v>743</v>
      </c>
      <c r="D192" s="4"/>
      <c r="E192" s="3" t="s">
        <v>81</v>
      </c>
      <c r="F192" s="4" t="s">
        <v>744</v>
      </c>
      <c r="G192" s="6" t="str">
        <f t="shared" si="1"/>
        <v>Link</v>
      </c>
      <c r="H192" s="3" t="s">
        <v>136</v>
      </c>
      <c r="I192" s="8" t="str">
        <f t="shared" si="2"/>
        <v>{"address_components":[{"long_name":"100","short_name":"100","types":["street_number"]},{"types":["route"],"long_name":"Reformatory Road","short_name":"Reformatory Rd"},{"types":["locality","political"],"long_name":"Mansfield","short_name":"Mansfield"},{"long_name":"Richland County","short_name":"Richland County","types":["administrative_area_level_2","political"]},{"long_name":"Ohio","short_name":"OH","types":["administrative_area_level_1","political"]},{"types":["country","political"],"long_name":"United States","short_name":"US"},{"types":["postal_code"],"long_name":"44905","short_name":"44905"},{"long_name":"1208","short_name":"1208","types":["postal_code_suffix"]},{"long_name":"100","short_name":"100","types":["street_number"]},{"long_name":"Reformatory Road","short_name":"Reformatory Rd","types":["route"]},{"long_name":"Mansfield","short_name":"Mansfield","types":["locality","political"]},{"types":["administrative_area_level_2","political"],"long_name":"Richland County","short_name":"Richland County"},{"long_name":"Ohio","short_name":"OH","types":["administrative_area_level_1","political"]},{"long_name":"United States","short_name":"US","types":["country","political"]},{"long_name":"44905","short_name":"44905","types":["postal_code"]},{"types":["postal_code_suffix"],"long_name":"1208","short_name":"1208"},{"types":["latitude"],"long_name":40.784215,"short_name":40.784215},{"types":["longitude"],"long_name":-82.502481,"short_name":-82.502481}]}</v>
      </c>
      <c r="J192" s="8" t="str">
        <f t="shared" si="3"/>
        <v>[{"long_name":"100","short_name":"100","types":["street_number"]},{"types":["route"],"long_name":"Reformatory Road","short_name":"Reformatory Rd"},{"types":["locality","political"],"long_name":"Mansfield","short_name":"Mansfield"},{"long_name":"Richland County","short_name":"Richland County","types":["administrative_area_level_2","political"]},{"long_name":"Ohio","short_name":"OH","types":["administrative_area_level_1","political"]},{"types":["country","political"],"long_name":"United States","short_name":"US"},{"types":["postal_code"],"long_name":"44905","short_name":"44905"},{"long_name":"1208","short_name":"1208","types":["postal_code_suffix"]},{"long_name":"100","short_name":"100","types":["street_number"]},{"long_name":"Reformatory Road","short_name":"Reformatory Rd","types":["route"]},{"long_name":"Mansfield","short_name":"Mansfield","types":["locality","political"]},{"types":["administrative_area_level_2","political"],"long_name":"Richland County","short_name":"Richland County"},{"long_name":"Ohio","short_name":"OH","types":["administrative_area_level_1","political"]},{"long_name":"United States","short_name":"US","types":["country","political"]},{"long_name":"44905","short_name":"44905","types":["postal_code"]},{"types":["postal_code_suffix"],"long_name":"1208","short_name":"1208"},{"types":["latitude"],"long_name":40.784215,"short_name":40.784215},{"types":["longitude"],"long_name":-82.502481,"short_name":-82.502481},{"types":["debug_info","cache_load_result"],"long_name":"hit","short_name":"hit"}]</v>
      </c>
      <c r="K192" s="9" t="b">
        <f t="shared" si="265"/>
        <v>0</v>
      </c>
      <c r="L192" s="8" t="b">
        <f t="shared" si="4"/>
        <v>1</v>
      </c>
      <c r="M192" s="10" t="b">
        <v>1</v>
      </c>
      <c r="N192" s="10">
        <v>40.784215</v>
      </c>
      <c r="O192" s="10">
        <v>-82.502481</v>
      </c>
      <c r="P192" s="10" t="s">
        <v>745</v>
      </c>
      <c r="Q192" s="10" t="s">
        <v>746</v>
      </c>
      <c r="R192" s="10">
        <v>44905.0</v>
      </c>
      <c r="S192" s="10" t="s">
        <v>47</v>
      </c>
      <c r="T192" s="19">
        <v>2380.3</v>
      </c>
      <c r="U192" s="32">
        <v>1.4741782407407407</v>
      </c>
      <c r="V192" s="18">
        <v>2005.46</v>
      </c>
      <c r="W192" s="4"/>
      <c r="X192" s="4" t="str">
        <f t="shared" si="5"/>
        <v>N/A</v>
      </c>
      <c r="Y192" s="4"/>
      <c r="Z192" s="4" t="s">
        <v>38</v>
      </c>
      <c r="AB192" s="14" t="s">
        <v>747</v>
      </c>
      <c r="AF192" s="4" t="s">
        <v>748</v>
      </c>
    </row>
    <row r="193" hidden="1">
      <c r="A193" s="34" t="s">
        <v>695</v>
      </c>
      <c r="B193" s="4" t="s">
        <v>749</v>
      </c>
      <c r="C193" s="4"/>
      <c r="D193" s="4"/>
      <c r="E193" s="3" t="s">
        <v>134</v>
      </c>
      <c r="F193" s="4" t="s">
        <v>750</v>
      </c>
      <c r="G193" s="6" t="str">
        <f t="shared" si="1"/>
        <v>Link</v>
      </c>
      <c r="H193" s="3" t="s">
        <v>323</v>
      </c>
      <c r="I193" s="8" t="str">
        <f t="shared" si="2"/>
        <v>{"address_components":[{"types":["locality","political"],"long_name":"Redmond","short_name":"Redmond"},{"types":["administrative_area_level_2","political"],"long_name":"King County","short_name":"King County"},{"long_name":"Washington","types":["administrative_area_level_1","political"],"short_name":"WA"},{"long_name":"United States","types":["country","political"],"short_name":"US"},{"long_name":"16388","short_name":"16388","types":["street_number"]},{"long_name":"Redmond Way","types":["route"],"short_name":"Redmond Way"},{"long_name":"Downtown","short_name":"Downtown","types":["neighborhood","political"]},{"long_name":"Redmond","types":["locality","political"],"short_name":"Redmond"},{"short_name":"King County","types":["administrative_area_level_2","political"],"long_name":"King County"},{"short_name":"WA","long_name":"Washington","types":["administrative_area_level_1","political"]},{"long_name":"United States","short_name":"US","types":["country","political"]},{"types":["postal_code"],"long_name":"98052","short_name":"98052"},{"types":["latitude"],"long_name":47.6739881,"short_name":47.6739881},{"types":["longitude"],"long_name":-122.121512,"short_name":-122.121512}]}</v>
      </c>
      <c r="J193" s="8" t="str">
        <f t="shared" si="3"/>
        <v>[{"types":["locality","political"],"long_name":"Redmond","short_name":"Redmond"},{"types":["administrative_area_level_2","political"],"long_name":"King County","short_name":"King County"},{"long_name":"Washington","types":["administrative_area_level_1","political"],"short_name":"WA"},{"long_name":"United States","types":["country","political"],"short_name":"US"},{"long_name":"16388","short_name":"16388","types":["street_number"]},{"long_name":"Redmond Way","types":["route"],"short_name":"Redmond Way"},{"long_name":"Downtown","short_name":"Downtown","types":["neighborhood","political"]},{"long_name":"Redmond","types":["locality","political"],"short_name":"Redmond"},{"short_name":"King County","types":["administrative_area_level_2","political"],"long_name":"King County"},{"short_name":"WA","long_name":"Washington","types":["administrative_area_level_1","political"]},{"long_name":"United States","short_name":"US","types":["country","political"]},{"types":["postal_code"],"long_name":"98052","short_name":"98052"},{"types":["latitude"],"long_name":47.6739881,"short_name":47.6739881},{"types":["longitude"],"long_name":-122.121512,"short_name":-122.121512},{"types":["debug_info","cache_load_result"],"long_name":"hit","short_name":"hit"}]</v>
      </c>
      <c r="K193" s="9" t="b">
        <f t="shared" si="265"/>
        <v>0</v>
      </c>
      <c r="L193" s="8" t="b">
        <f t="shared" si="4"/>
        <v>1</v>
      </c>
      <c r="M193" s="10" t="b">
        <v>1</v>
      </c>
      <c r="N193" s="10">
        <v>47.6739881</v>
      </c>
      <c r="O193" s="10">
        <v>-122.121512</v>
      </c>
      <c r="P193" s="10" t="s">
        <v>751</v>
      </c>
      <c r="Q193" s="10" t="s">
        <v>193</v>
      </c>
      <c r="R193" s="10">
        <v>98052.0</v>
      </c>
      <c r="S193" s="10" t="s">
        <v>47</v>
      </c>
      <c r="T193" s="19">
        <v>17.7</v>
      </c>
      <c r="U193" s="32">
        <v>0.018587962962962962</v>
      </c>
      <c r="V193" s="18">
        <v>11.05</v>
      </c>
      <c r="W193" s="4"/>
      <c r="X193" s="4" t="str">
        <f t="shared" si="5"/>
        <v>N/A</v>
      </c>
      <c r="Y193" s="4"/>
      <c r="Z193" s="4" t="s">
        <v>38</v>
      </c>
      <c r="AA193" s="4"/>
      <c r="AB193" s="14" t="s">
        <v>752</v>
      </c>
      <c r="AC193" s="14" t="s">
        <v>348</v>
      </c>
      <c r="AD193" s="4"/>
    </row>
    <row r="194">
      <c r="A194" s="34" t="s">
        <v>695</v>
      </c>
      <c r="B194" s="4" t="s">
        <v>753</v>
      </c>
      <c r="C194" s="4"/>
      <c r="D194" s="4"/>
      <c r="E194" s="5"/>
      <c r="F194" s="4" t="s">
        <v>754</v>
      </c>
      <c r="G194" s="6" t="str">
        <f t="shared" si="1"/>
        <v>Link</v>
      </c>
      <c r="H194" s="3" t="s">
        <v>136</v>
      </c>
      <c r="I194" s="8" t="str">
        <f t="shared" si="2"/>
        <v>{"distance_from":{"mi":{"flying":{"2116 4th Ave, Seattle, WA, 98121":63.70996806144134},"driving":{"2116 4th Ave, Seattle, WA, 98121":74.98291224974213}}},"address_components":[{"short_name":"2051","types":["street_number"],"long_name":"2051"},{"long_name":"Hub Drive","types":["route"],"short_name":"Hub Dr"},{"short_name":"Sedro-Woolley","types":["locality","political"],"long_name":"Sedro-Woolley"},{"long_name":"Skagit County","short_name":"Skagit County","types":["administrative_area_level_2","political"]},{"long_name":"Washington","types":["administrative_area_level_1","political"],"short_name":"WA"},{"long_name":"United States","short_name":"US","types":["country","political"]},{"long_name":"98284","short_name":"98284","types":["postal_code"]},{"short_name":"2051","long_name":"2051","types":["street_number"]},{"types":["route"],"short_name":"Hub Dr","long_name":"Hub Drive"},{"short_name":"Sedro-Woolley","long_name":"Sedro-Woolley","types":["locality","political"]},{"long_name":"Skagit County","short_name":"Skagit County","types":["administrative_area_level_2","political"]},{"long_name":"Washington","types":["administrative_area_level_1","political"],"short_name":"WA"},{"short_name":"US","long_name":"United States","types":["country","political"]},{"long_name":"98284","short_name":"98284","types":["postal_code"]},{"types":["latitude"],"long_name":48.5319459,"short_name":48.5319459},{"types":["longitude"],"long_name":-122.204437,"short_name":-122.204437}],"duration_from":{"days":{"driving":{"2116 4th Ave, Seattle, WA, 98121":0.05769675925925926}}}}</v>
      </c>
      <c r="J194" s="8" t="str">
        <f t="shared" si="3"/>
        <v>[{"short_name":"2051","types":["street_number"],"long_name":"2051"},{"long_name":"Hub Drive","types":["route"],"short_name":"Hub Dr"},{"short_name":"Sedro-Woolley","types":["locality","political"],"long_name":"Sedro-Woolley"},{"long_name":"Skagit County","short_name":"Skagit County","types":["administrative_area_level_2","political"]},{"long_name":"Washington","types":["administrative_area_level_1","political"],"short_name":"WA"},{"long_name":"United States","short_name":"US","types":["country","political"]},{"long_name":"98284","short_name":"98284","types":["postal_code"]},{"short_name":"2051","long_name":"2051","types":["street_number"]},{"types":["route"],"short_name":"Hub Dr","long_name":"Hub Drive"},{"short_name":"Sedro-Woolley","long_name":"Sedro-Woolley","types":["locality","political"]},{"long_name":"Skagit County","short_name":"Skagit County","types":["administrative_area_level_2","political"]},{"long_name":"Washington","types":["administrative_area_level_1","political"],"short_name":"WA"},{"short_name":"US","long_name":"United States","types":["country","political"]},{"long_name":"98284","short_name":"98284","types":["postal_code"]},{"types":["latitude"],"long_name":48.5319459,"short_name":48.5319459},{"types":["longitude"],"long_name":-122.204437,"short_name":-122.204437},{"types":["debug_info","cache_load_result"],"long_name":"hit","short_name":"hit"}]</v>
      </c>
      <c r="K194" s="9" t="b">
        <f t="shared" ref="K194:K197" si="266">NOT(AND(NOT(_xlfn.ISFORMULA(P194)),AND(NOT(_xlfn.ISFORMULA(Q194)),AND(NOT(_xlfn.ISFORMULA(R194)),AND(NOT(_xlfn.ISFORMULA(S194)),AND(NOT(_xlfn.ISFORMULA(T194)),AND(NOT(_xlfn.ISFORMULA(U194)),AND(NOT(_xlfn.ISFORMULA(V194))))))))))</f>
        <v>1</v>
      </c>
      <c r="L194" s="8" t="b">
        <f t="shared" si="4"/>
        <v>0</v>
      </c>
      <c r="M194" s="10" t="b">
        <v>1</v>
      </c>
      <c r="N194" s="8">
        <f t="shared" ref="N194:N197" si="267">GOOGLEMAPS_GET_ADDRESS_LATITUDE(F194,true)</f>
        <v>48.5319459</v>
      </c>
      <c r="O194" s="8">
        <f t="shared" ref="O194:O197" si="268">GOOGLEMAPS_GET_ADDRESS_LONGITUDE(F194,true)</f>
        <v>-122.204437</v>
      </c>
      <c r="P194" s="8" t="str">
        <f t="shared" ref="P194:P197" si="269">GOOGLEMAPS_GET_ADDRESS_CITY(F194,true,false)</f>
        <v>Sedro-Woolley</v>
      </c>
      <c r="Q194" s="8" t="str">
        <f t="shared" ref="Q194:Q197" si="270">GOOGLEMAPS_GET_ADDRESS_STATE(F194,true,false)</f>
        <v>Washington</v>
      </c>
      <c r="R194" s="8" t="str">
        <f t="shared" ref="R194:R197" si="271">GOOGLEMAPS_GET_ADDRESS_POSTAL_CODE(F194,false,false)</f>
        <v>98284</v>
      </c>
      <c r="S194" s="8" t="str">
        <f t="shared" ref="S194:S197" si="272">GOOGLEMAPS_GET_ADDRESS_COUNTRY(F194,true,false)</f>
        <v>United States</v>
      </c>
      <c r="T194" s="11">
        <f t="shared" ref="T194:T197" si="273">IFERROR(GOOGLEMAPS_DISTANCE("2116 4th Ave, Seattle, WA, 98121", F194, "driving")+0,"Not Driveable")</f>
        <v>74.98291225</v>
      </c>
      <c r="U194" s="12">
        <f t="shared" ref="U194:U197" si="274">iferror(GOOGLEMAPS_DURATION("2116 4th Ave, Seattle, WA, 98121", F194, "driving")+0,"Not Driveable")</f>
        <v>0.05769675926</v>
      </c>
      <c r="V194" s="13">
        <f t="shared" ref="V194:V197" si="275">GOOGLEMAPS_DISTANCE("2116 4th Ave, Seattle, WA, 98121", F194, "flying")+0</f>
        <v>63.70996806</v>
      </c>
      <c r="W194" s="4" t="s">
        <v>720</v>
      </c>
      <c r="X194" s="4" t="str">
        <f t="shared" si="5"/>
        <v>N/A</v>
      </c>
      <c r="Y194" s="24"/>
      <c r="Z194" s="4" t="s">
        <v>38</v>
      </c>
      <c r="AA194" s="4"/>
      <c r="AB194" s="14" t="s">
        <v>755</v>
      </c>
      <c r="AC194" s="14" t="s">
        <v>348</v>
      </c>
      <c r="AD194" s="4"/>
    </row>
    <row r="195">
      <c r="A195" s="3" t="s">
        <v>695</v>
      </c>
      <c r="B195" s="4" t="s">
        <v>756</v>
      </c>
      <c r="C195" s="4"/>
      <c r="D195" s="4"/>
      <c r="E195" s="5"/>
      <c r="F195" s="4" t="s">
        <v>757</v>
      </c>
      <c r="G195" s="6" t="str">
        <f t="shared" si="1"/>
        <v>Link</v>
      </c>
      <c r="H195" s="3" t="s">
        <v>37</v>
      </c>
      <c r="I195" s="8" t="str">
        <f t="shared" si="2"/>
        <v>{"duration_from":{"days":{"driving":{"2116 4th Ave, Seattle, WA, 98121":0.11881944444444444}}},"address_components":[{"long_name":"Lake Wenatchee","types":["establishment","natural_feature"],"short_name":"Lake Wenatchee"},{"short_name":"Chelan County","long_name":"Chelan County","types":["administrative_area_level_2","political"]},{"long_name":"Washington","short_name":"WA","types":["administrative_area_level_1","political"]},{"types":["country","political"],"short_name":"US","long_name":"United States"},{"long_name":"98826","types":["postal_code"],"short_name":"98826"},{"types":["plus_code"],"long_name":"R6FF+Q5","short_name":"R6FF+Q5"},{"long_name":"Telma","short_name":"Telma","types":["locality","political"]},{"short_name":"Chelan County","long_name":"Chelan County","types":["administrative_area_level_2","political"]},{"long_name":"Washington","short_name":"WA","types":["administrative_area_level_1","political"]},{"long_name":"United States","short_name":"US","types":["country","political"]},{"long_name":"98826","types":["postal_code"],"short_name":"98826"},{"types":["latitude"],"long_name":47.8244532,"short_name":47.8244532},{"types":["longitude"],"long_name":-120.7770171,"short_name":-120.7770171}],"distance_from":{"mi":{"driving":{"2116 4th Ave, Seattle, WA, 98121":158.04739831235165},"flying":{"2116 4th Ave, Seattle, WA, 98121":74.16518572831099}}}}</v>
      </c>
      <c r="J195" s="8" t="str">
        <f t="shared" si="3"/>
        <v>[{"long_name":"Lake Wenatchee","types":["establishment","natural_feature"],"short_name":"Lake Wenatchee"},{"short_name":"Chelan County","long_name":"Chelan County","types":["administrative_area_level_2","political"]},{"long_name":"Washington","short_name":"WA","types":["administrative_area_level_1","political"]},{"types":["country","political"],"short_name":"US","long_name":"United States"},{"long_name":"98826","types":["postal_code"],"short_name":"98826"},{"types":["plus_code"],"long_name":"R6FF+Q5","short_name":"R6FF+Q5"},{"long_name":"Telma","short_name":"Telma","types":["locality","political"]},{"short_name":"Chelan County","long_name":"Chelan County","types":["administrative_area_level_2","political"]},{"long_name":"Washington","short_name":"WA","types":["administrative_area_level_1","political"]},{"long_name":"United States","short_name":"US","types":["country","political"]},{"long_name":"98826","types":["postal_code"],"short_name":"98826"},{"types":["latitude"],"long_name":47.8244532,"short_name":47.8244532},{"types":["longitude"],"long_name":-120.7770171,"short_name":-120.7770171},{"types":["debug_info","cache_load_result"],"long_name":"hit","short_name":"hit"}]</v>
      </c>
      <c r="K195" s="9" t="b">
        <f t="shared" si="266"/>
        <v>1</v>
      </c>
      <c r="L195" s="8" t="b">
        <f t="shared" si="4"/>
        <v>0</v>
      </c>
      <c r="M195" s="10" t="b">
        <v>1</v>
      </c>
      <c r="N195" s="8">
        <f t="shared" si="267"/>
        <v>47.8244532</v>
      </c>
      <c r="O195" s="8">
        <f t="shared" si="268"/>
        <v>-120.7770171</v>
      </c>
      <c r="P195" s="8" t="str">
        <f t="shared" si="269"/>
        <v>Telma</v>
      </c>
      <c r="Q195" s="8" t="str">
        <f t="shared" si="270"/>
        <v>Washington</v>
      </c>
      <c r="R195" s="8" t="str">
        <f t="shared" si="271"/>
        <v>98826</v>
      </c>
      <c r="S195" s="8" t="str">
        <f t="shared" si="272"/>
        <v>United States</v>
      </c>
      <c r="T195" s="11">
        <f t="shared" si="273"/>
        <v>158.0473983</v>
      </c>
      <c r="U195" s="12">
        <f t="shared" si="274"/>
        <v>0.1188194444</v>
      </c>
      <c r="V195" s="13">
        <f t="shared" si="275"/>
        <v>74.16518573</v>
      </c>
      <c r="W195" s="4"/>
      <c r="X195" s="4" t="str">
        <f t="shared" si="5"/>
        <v>N/A</v>
      </c>
      <c r="Y195" s="4"/>
      <c r="Z195" s="4" t="s">
        <v>38</v>
      </c>
    </row>
    <row r="196" hidden="1">
      <c r="A196" s="3" t="s">
        <v>695</v>
      </c>
      <c r="B196" s="4" t="s">
        <v>758</v>
      </c>
      <c r="C196" s="4" t="s">
        <v>759</v>
      </c>
      <c r="D196" s="4" t="s">
        <v>760</v>
      </c>
      <c r="E196" s="3" t="s">
        <v>174</v>
      </c>
      <c r="F196" s="4" t="s">
        <v>758</v>
      </c>
      <c r="G196" s="6" t="str">
        <f t="shared" si="1"/>
        <v>Link</v>
      </c>
      <c r="H196" s="3" t="s">
        <v>289</v>
      </c>
      <c r="I196" s="7" t="str">
        <f t="shared" si="2"/>
        <v>{"address_components":[{"long_name":"1313","short_name":"1313","types":["street_number"]},{"long_name":"South Harbor Boulevard","short_name":"S Harbor Blvd","types":["route"]},{"long_name":"Anaheim Resort","short_name":"Anaheim Resort","types":["neighborhood","political"]},{"long_name":"Anaheim","types":["locality","political"],"short_name":"Anaheim"},{"types":["administrative_area_level_2","political"],"long_name":"Orange County","short_name":"Orange County"},{"long_name":"California","short_name":"CA","types":["administrative_area_level_1","political"]},{"short_name":"US","long_name":"United States","types":["country","political"]},{"short_name":"92802","long_name":"92802","types":["postal_code"]},{"types":["street_number"],"short_name":"1313","long_name":"1313"},{"long_name":"South Harbor Boulevard","types":["route"],"short_name":"S Harbor Blvd"},{"long_name":"Anaheim Resort","short_name":"Anaheim Resort","types":["neighborhood","political"]},{"types":["locality","political"],"long_name":"Anaheim","short_name":"Anaheim"},{"long_name":"Orange County","short_name":"Orange County","types":["administrative_area_level_2","political"]},{"types":["administrative_area_level_1","political"],"long_name":"California","short_name":"CA"},{"short_name":"US","long_name":"United States","types":["country","political"]},{"long_name":"92802","short_name":"92802","types":["postal_code"]},{"types":["latitude"],"long_name":33.8110145,"short_name":33.8110145},{"types":["longitude"],"long_name":-117.9212518,"short_name":-117.9212518}],"distance_from":{"mi":{"driving":{"2116 4th Ave, Seattle, WA, 98121":1162.6499061727168},"flying":{"2116 4th Ave, Seattle, WA, 98121":980.9897224949359}}},"duration_from":{"days":{"driving":{"2116 4th Ave, Seattle, WA, 98121":0.7459722222222221}}}}</v>
      </c>
      <c r="J196" s="8" t="str">
        <f t="shared" si="3"/>
        <v>[{"long_name":"1313","short_name":"1313","types":["street_number"]},{"long_name":"South Harbor Boulevard","short_name":"S Harbor Blvd","types":["route"]},{"long_name":"Anaheim Resort","short_name":"Anaheim Resort","types":["neighborhood","political"]},{"long_name":"Anaheim","types":["locality","political"],"short_name":"Anaheim"},{"types":["administrative_area_level_2","political"],"long_name":"Orange County","short_name":"Orange County"},{"long_name":"California","short_name":"CA","types":["administrative_area_level_1","political"]},{"short_name":"US","long_name":"United States","types":["country","political"]},{"short_name":"92802","long_name":"92802","types":["postal_code"]},{"types":["street_number"],"short_name":"1313","long_name":"1313"},{"long_name":"South Harbor Boulevard","types":["route"],"short_name":"S Harbor Blvd"},{"long_name":"Anaheim Resort","short_name":"Anaheim Resort","types":["neighborhood","political"]},{"types":["locality","political"],"long_name":"Anaheim","short_name":"Anaheim"},{"long_name":"Orange County","short_name":"Orange County","types":["administrative_area_level_2","political"]},{"types":["administrative_area_level_1","political"],"long_name":"California","short_name":"CA"},{"short_name":"US","long_name":"United States","types":["country","political"]},{"long_name":"92802","short_name":"92802","types":["postal_code"]},{"types":["latitude"],"long_name":33.8110145,"short_name":33.8110145},{"types":["longitude"],"long_name":-117.9212518,"short_name":-117.9212518},{"types":["debug_info","cache_load_result"],"long_name":"hit","short_name":"hit"}]</v>
      </c>
      <c r="K196" s="9" t="b">
        <f t="shared" si="266"/>
        <v>1</v>
      </c>
      <c r="L196" s="8" t="b">
        <f t="shared" si="4"/>
        <v>0</v>
      </c>
      <c r="M196" s="10" t="b">
        <v>1</v>
      </c>
      <c r="N196" s="8">
        <f t="shared" si="267"/>
        <v>33.8110145</v>
      </c>
      <c r="O196" s="8">
        <f t="shared" si="268"/>
        <v>-117.9212518</v>
      </c>
      <c r="P196" s="8" t="str">
        <f t="shared" si="269"/>
        <v>Anaheim</v>
      </c>
      <c r="Q196" s="8" t="str">
        <f t="shared" si="270"/>
        <v>California</v>
      </c>
      <c r="R196" s="8" t="str">
        <f t="shared" si="271"/>
        <v>92802</v>
      </c>
      <c r="S196" s="8" t="str">
        <f t="shared" si="272"/>
        <v>United States</v>
      </c>
      <c r="T196" s="11">
        <f t="shared" si="273"/>
        <v>1162.649906</v>
      </c>
      <c r="U196" s="12">
        <f t="shared" si="274"/>
        <v>0.7459722222</v>
      </c>
      <c r="V196" s="13">
        <f t="shared" si="275"/>
        <v>980.9897225</v>
      </c>
      <c r="X196" s="4" t="str">
        <f t="shared" si="5"/>
        <v>N/A</v>
      </c>
      <c r="Y196" s="4"/>
      <c r="Z196" s="4" t="s">
        <v>38</v>
      </c>
      <c r="AB196" s="14" t="s">
        <v>69</v>
      </c>
    </row>
    <row r="197">
      <c r="A197" s="3" t="s">
        <v>695</v>
      </c>
      <c r="B197" s="4" t="s">
        <v>761</v>
      </c>
      <c r="C197" s="4" t="s">
        <v>762</v>
      </c>
      <c r="D197" s="4" t="s">
        <v>763</v>
      </c>
      <c r="E197" s="3" t="s">
        <v>174</v>
      </c>
      <c r="F197" s="4" t="s">
        <v>761</v>
      </c>
      <c r="G197" s="6" t="str">
        <f t="shared" si="1"/>
        <v>Link</v>
      </c>
      <c r="H197" s="3" t="s">
        <v>289</v>
      </c>
      <c r="I197" s="7" t="str">
        <f t="shared" si="2"/>
        <v>{"address_components":[{"short_name":"20601","types":["street_number"],"long_name":"20601"},{"long_name":"Bohemian Avenue","short_name":"Bohemian Ave","types":["route"]},{"long_name":"Monte Rio","short_name":"Monte Rio","types":["locality","political"]},{"long_name":"Sonoma County","short_name":"Sonoma County","types":["administrative_area_level_2","political"]},{"long_name":"California","short_name":"CA","types":["administrative_area_level_1","political"]},{"long_name":"United States","short_name":"US","types":["country","political"]},{"long_name":"95462","short_name":"95462","types":["postal_code"]},{"long_name":"20601","short_name":"20601","types":["street_number"]},{"long_name":"Bohemian Avenue","short_name":"Bohemian Ave","types":["route"]},{"types":["locality","political"],"long_name":"Monte Rio","short_name":"Monte Rio"},{"long_name":"Sonoma County","types":["administrative_area_level_2","political"],"short_name":"Sonoma County"},{"long_name":"California","short_name":"CA","types":["administrative_area_level_1","political"]},{"short_name":"US","types":["country","political"],"long_name":"United States"},{"short_name":"95462","long_name":"95462","types":["postal_code"]},{"types":["latitude"],"long_name":38.4662425,"short_name":38.4662425},{"types":["longitude"],"long_name":-122.999721,"short_name":-122.999721}],"distance_from":{"mi":{"flying":{"2116 4th Ave, Seattle, WA, 98121":632.9464252426461},"driving":{"2116 4th Ave, Seattle, WA, 98121":804.6273627698312}}},"duration_from":{"days":{"driving":{"2116 4th Ave, Seattle, WA, 98121":0.5503703703703703}}}}</v>
      </c>
      <c r="J197" s="8" t="str">
        <f t="shared" si="3"/>
        <v>[{"short_name":"20601","types":["street_number"],"long_name":"20601"},{"long_name":"Bohemian Avenue","short_name":"Bohemian Ave","types":["route"]},{"long_name":"Monte Rio","short_name":"Monte Rio","types":["locality","political"]},{"long_name":"Sonoma County","short_name":"Sonoma County","types":["administrative_area_level_2","political"]},{"long_name":"California","short_name":"CA","types":["administrative_area_level_1","political"]},{"long_name":"United States","short_name":"US","types":["country","political"]},{"long_name":"95462","short_name":"95462","types":["postal_code"]},{"long_name":"20601","short_name":"20601","types":["street_number"]},{"long_name":"Bohemian Avenue","short_name":"Bohemian Ave","types":["route"]},{"types":["locality","political"],"long_name":"Monte Rio","short_name":"Monte Rio"},{"long_name":"Sonoma County","types":["administrative_area_level_2","political"],"short_name":"Sonoma County"},{"long_name":"California","short_name":"CA","types":["administrative_area_level_1","political"]},{"short_name":"US","types":["country","political"],"long_name":"United States"},{"short_name":"95462","long_name":"95462","types":["postal_code"]},{"types":["latitude"],"long_name":38.4662425,"short_name":38.4662425},{"types":["longitude"],"long_name":-122.999721,"short_name":-122.999721},{"types":["debug_info","cache_load_result"],"long_name":"hit","short_name":"hit"}]</v>
      </c>
      <c r="K197" s="9" t="b">
        <f t="shared" si="266"/>
        <v>1</v>
      </c>
      <c r="L197" s="8" t="b">
        <f t="shared" si="4"/>
        <v>0</v>
      </c>
      <c r="M197" s="10" t="b">
        <v>1</v>
      </c>
      <c r="N197" s="8">
        <f t="shared" si="267"/>
        <v>38.4662425</v>
      </c>
      <c r="O197" s="8">
        <f t="shared" si="268"/>
        <v>-122.999721</v>
      </c>
      <c r="P197" s="8" t="str">
        <f t="shared" si="269"/>
        <v>Monte Rio</v>
      </c>
      <c r="Q197" s="8" t="str">
        <f t="shared" si="270"/>
        <v>California</v>
      </c>
      <c r="R197" s="8" t="str">
        <f t="shared" si="271"/>
        <v>95462</v>
      </c>
      <c r="S197" s="8" t="str">
        <f t="shared" si="272"/>
        <v>United States</v>
      </c>
      <c r="T197" s="11">
        <f t="shared" si="273"/>
        <v>804.6273628</v>
      </c>
      <c r="U197" s="12">
        <f t="shared" si="274"/>
        <v>0.5503703704</v>
      </c>
      <c r="V197" s="13">
        <f t="shared" si="275"/>
        <v>632.9464252</v>
      </c>
      <c r="X197" s="4" t="str">
        <f t="shared" si="5"/>
        <v>N/A</v>
      </c>
      <c r="Y197" s="4"/>
      <c r="Z197" s="4" t="s">
        <v>38</v>
      </c>
      <c r="AB197" s="14" t="s">
        <v>69</v>
      </c>
    </row>
    <row r="198">
      <c r="A198" s="3" t="s">
        <v>695</v>
      </c>
      <c r="B198" s="4" t="s">
        <v>764</v>
      </c>
      <c r="C198" s="4"/>
      <c r="D198" s="4"/>
      <c r="E198" s="5"/>
      <c r="F198" s="4" t="s">
        <v>764</v>
      </c>
      <c r="G198" s="6" t="str">
        <f t="shared" si="1"/>
        <v>Link</v>
      </c>
      <c r="H198" s="3" t="s">
        <v>45</v>
      </c>
      <c r="I198" s="8" t="str">
        <f t="shared" si="2"/>
        <v>{"address_components":[{"long_name":"Kirwin","short_name":"Kirwin","types":["locality","political"]},{"types":["administrative_area_level_2","political"],"long_name":"Park County","short_name":"Park County"},{"types":["administrative_area_level_1","political"],"short_name":"WY","long_name":"Wyoming"},{"long_name":"United States","types":["country","political"],"short_name":"US"},{"types":["postal_code"],"short_name":"82433","long_name":"82433"},{"types":["route"],"long_name":"Wood River Road","short_name":"Forest Rd 200"},{"types":["locality","political"],"short_name":"Meeteetse","long_name":"Meeteetse"},{"long_name":"Park County","short_name":"Park County","types":["administrative_area_level_2","political"]},{"short_name":"WY","long_name":"Wyoming","types":["administrative_area_level_1","political"]},{"short_name":"US","types":["country","political"],"long_name":"United States"},{"long_name":"82433","types":["postal_code"],"short_name":"82433"},{"types":["latitude"],"long_name":43.87634449999999,"short_name":43.87634449999999},{"types":["longitude"],"long_name":-109.2979228,"short_name":-109.2979228}]}</v>
      </c>
      <c r="J198" s="8" t="str">
        <f t="shared" si="3"/>
        <v>[{"long_name":"Kirwin","short_name":"Kirwin","types":["locality","political"]},{"types":["administrative_area_level_2","political"],"long_name":"Park County","short_name":"Park County"},{"types":["administrative_area_level_1","political"],"short_name":"WY","long_name":"Wyoming"},{"long_name":"United States","types":["country","political"],"short_name":"US"},{"types":["postal_code"],"short_name":"82433","long_name":"82433"},{"types":["route"],"long_name":"Wood River Road","short_name":"Forest Rd 200"},{"types":["locality","political"],"short_name":"Meeteetse","long_name":"Meeteetse"},{"long_name":"Park County","short_name":"Park County","types":["administrative_area_level_2","political"]},{"short_name":"WY","long_name":"Wyoming","types":["administrative_area_level_1","political"]},{"short_name":"US","types":["country","political"],"long_name":"United States"},{"long_name":"82433","types":["postal_code"],"short_name":"82433"},{"types":["latitude"],"long_name":43.87634449999999,"short_name":43.87634449999999},{"types":["longitude"],"long_name":-109.2979228,"short_name":-109.2979228},{"types":["debug_info","cache_load_result"],"long_name":"hit","short_name":"hit"}]</v>
      </c>
      <c r="K198" s="9" t="b">
        <f>NOT(AND(NOT(_xlfn.ISFORMULA(P198)),AND(NOT(_xlfn.ISFORMULA(Q198)),AND(NOT(_xlfn.ISFORMULA(R198)),AND(NOT(_xlfn.ISFORMULA(S198)),AND(NOT(_xlfn.ISFORMULA(T198)),AND(NOT(_xlfn.ISFORMULA(U198)),AND(NOT(_xlfn.ISFORMULA(V198)),AND(NOT(_xlfn.ISFORMULA(N198)),NOT(_xlfn.ISFORMULA(O198)))))))))))</f>
        <v>0</v>
      </c>
      <c r="L198" s="8" t="b">
        <f t="shared" si="4"/>
        <v>1</v>
      </c>
      <c r="M198" s="10" t="b">
        <v>1</v>
      </c>
      <c r="N198" s="10">
        <v>43.8763445</v>
      </c>
      <c r="O198" s="10">
        <v>-109.2979228</v>
      </c>
      <c r="P198" s="10" t="s">
        <v>765</v>
      </c>
      <c r="Q198" s="10" t="s">
        <v>766</v>
      </c>
      <c r="R198" s="10">
        <v>82433.0</v>
      </c>
      <c r="S198" s="10" t="s">
        <v>47</v>
      </c>
      <c r="T198" s="19">
        <v>945.7</v>
      </c>
      <c r="U198" s="32">
        <v>0.6574421296296297</v>
      </c>
      <c r="V198" s="18">
        <v>678.82</v>
      </c>
      <c r="W198" s="4"/>
      <c r="X198" s="4" t="str">
        <f t="shared" si="5"/>
        <v>N/A</v>
      </c>
      <c r="Y198" s="4"/>
      <c r="Z198" s="4" t="s">
        <v>38</v>
      </c>
      <c r="AB198" s="14" t="s">
        <v>767</v>
      </c>
      <c r="AF198" s="4" t="s">
        <v>768</v>
      </c>
    </row>
    <row r="199" hidden="1">
      <c r="A199" s="3" t="s">
        <v>695</v>
      </c>
      <c r="B199" s="4" t="s">
        <v>769</v>
      </c>
      <c r="C199" s="4" t="s">
        <v>770</v>
      </c>
      <c r="D199" s="4" t="s">
        <v>771</v>
      </c>
      <c r="E199" s="3" t="s">
        <v>68</v>
      </c>
      <c r="F199" s="4" t="s">
        <v>769</v>
      </c>
      <c r="G199" s="6" t="str">
        <f t="shared" si="1"/>
        <v>Link</v>
      </c>
      <c r="H199" s="3" t="s">
        <v>37</v>
      </c>
      <c r="I199" s="7" t="str">
        <f t="shared" si="2"/>
        <v>{"address_components":[{"long_name":"Bhutan","short_name":"BT","types":["country","political"]},{"short_name":"GC7M+MC","types":["plus_code"],"long_name":"GC7M+MC"},{"long_name":"Karshong Village","short_name":"Karshong Village","types":["locality","political"]},{"short_name":"Trongsa","types":["administrative_area_level_1","political"],"long_name":"Trongsa"},{"long_name":"Bhutan","types":["country","political"],"short_name":"BT"},{"types":["latitude"],"long_name":27.514162,"short_name":27.514162},{"types":["longitude"],"long_name":90.433601,"short_name":90.433601}],"distance_from":{"mi":{"flying":{"2116 4th Ave, Seattle, WA, 98121":6860.4434115848735},"driving":{"2116 4th Ave, Seattle, WA, 98121":"GOOGLE_MAPS_ERROR_CACHED - No route found!"}}},"duration_from":{"days":{"driving":{"2116 4th Ave, Seattle, WA, 98121":"GOOGLE_MAPS_ERROR_CACHED - No route found!"}}}}</v>
      </c>
      <c r="J199" s="8" t="str">
        <f t="shared" si="3"/>
        <v>[{"long_name":"Bhutan","short_name":"BT","types":["country","political"]},{"short_name":"GC7M+MC","types":["plus_code"],"long_name":"GC7M+MC"},{"long_name":"Karshong Village","short_name":"Karshong Village","types":["locality","political"]},{"short_name":"Trongsa","types":["administrative_area_level_1","political"],"long_name":"Trongsa"},{"long_name":"Bhutan","types":["country","political"],"short_name":"BT"},{"types":["latitude"],"long_name":27.514162,"short_name":27.514162},{"types":["longitude"],"long_name":90.433601,"short_name":90.433601},{"types":["debug_info","cache_load_result"],"long_name":"hit","short_name":"hit"}]</v>
      </c>
      <c r="K199" s="9" t="b">
        <f t="shared" ref="K199:K204" si="276">NOT(AND(NOT(_xlfn.ISFORMULA(P199)),AND(NOT(_xlfn.ISFORMULA(Q199)),AND(NOT(_xlfn.ISFORMULA(R199)),AND(NOT(_xlfn.ISFORMULA(S199)),AND(NOT(_xlfn.ISFORMULA(T199)),AND(NOT(_xlfn.ISFORMULA(U199)),AND(NOT(_xlfn.ISFORMULA(V199))))))))))</f>
        <v>1</v>
      </c>
      <c r="L199" s="8" t="b">
        <f t="shared" si="4"/>
        <v>0</v>
      </c>
      <c r="M199" s="10" t="b">
        <v>1</v>
      </c>
      <c r="N199" s="8">
        <f t="shared" ref="N199:N204" si="277">GOOGLEMAPS_GET_ADDRESS_LATITUDE(F199,true)</f>
        <v>27.514162</v>
      </c>
      <c r="O199" s="8">
        <f t="shared" ref="O199:O204" si="278">GOOGLEMAPS_GET_ADDRESS_LONGITUDE(F199,true)</f>
        <v>90.433601</v>
      </c>
      <c r="P199" s="8" t="str">
        <f t="shared" ref="P199:P204" si="279">GOOGLEMAPS_GET_ADDRESS_CITY(F199,true,false)</f>
        <v>Karshong Village</v>
      </c>
      <c r="Q199" s="8" t="str">
        <f t="shared" ref="Q199:Q204" si="280">GOOGLEMAPS_GET_ADDRESS_STATE(F199,true,false)</f>
        <v>Trongsa</v>
      </c>
      <c r="R199" s="8" t="str">
        <f t="shared" ref="R199:R204" si="281">GOOGLEMAPS_GET_ADDRESS_POSTAL_CODE(F199,false,false)</f>
        <v>UNDEFINED</v>
      </c>
      <c r="S199" s="8" t="str">
        <f t="shared" ref="S199:S204" si="282">GOOGLEMAPS_GET_ADDRESS_COUNTRY(F199,true,false)</f>
        <v>Bhutan</v>
      </c>
      <c r="T199" s="11" t="str">
        <f t="shared" ref="T199:T204" si="283">IFERROR(GOOGLEMAPS_DISTANCE("2116 4th Ave, Seattle, WA, 98121", F199, "driving")+0,"Not Driveable")</f>
        <v>Not Driveable</v>
      </c>
      <c r="U199" s="12" t="str">
        <f t="shared" ref="U199:U204" si="284">iferror(GOOGLEMAPS_DURATION("2116 4th Ave, Seattle, WA, 98121", F199, "driving")+0,"Not Driveable")</f>
        <v>Not Driveable</v>
      </c>
      <c r="V199" s="13">
        <f t="shared" ref="V199:V204" si="285">GOOGLEMAPS_DISTANCE("2116 4th Ave, Seattle, WA, 98121", F199, "flying")+0</f>
        <v>6860.443412</v>
      </c>
      <c r="X199" s="4" t="str">
        <f t="shared" si="5"/>
        <v>N/A</v>
      </c>
      <c r="Y199" s="4"/>
      <c r="Z199" s="4" t="s">
        <v>38</v>
      </c>
      <c r="AB199" s="14" t="s">
        <v>69</v>
      </c>
    </row>
    <row r="200" hidden="1">
      <c r="A200" s="3" t="s">
        <v>695</v>
      </c>
      <c r="B200" s="4" t="s">
        <v>772</v>
      </c>
      <c r="C200" s="4" t="s">
        <v>773</v>
      </c>
      <c r="D200" s="4" t="s">
        <v>774</v>
      </c>
      <c r="E200" s="3" t="s">
        <v>68</v>
      </c>
      <c r="F200" s="4" t="s">
        <v>772</v>
      </c>
      <c r="G200" s="6" t="str">
        <f t="shared" si="1"/>
        <v>Link</v>
      </c>
      <c r="H200" s="3" t="s">
        <v>37</v>
      </c>
      <c r="I200" s="7" t="str">
        <f t="shared" si="2"/>
        <v>{"address_components":[{"long_name":"Barren Island","short_name":"Barren Island","types":["establishment","natural_feature"]},{"short_name":"AN","types":["administrative_area_level_1","political"],"long_name":"Andaman and Nicobar Islands"},{"short_name":"IN","types":["country","political"],"long_name":"India"},{"short_name":"7M4M7VH6+M5","types":["plus_code"],"long_name":"7M4M7VH6+M5"},{"types":["latitude"],"long_name":12.2792303,"short_name":12.2792303},{"types":["longitude"],"long_name":93.86044020000001,"short_name":93.86044020000001}],"duration_from":{"days":{"driving":{"2116 4th Ave, Seattle, WA, 98121":"GOOGLE_MAPS_ERROR_CACHED - No route found!"}}},"distance_from":{"mi":{"driving":{"2116 4th Ave, Seattle, WA, 98121":"GOOGLE_MAPS_ERROR_CACHED - No route found!"},"flying":{"2116 4th Ave, Seattle, WA, 98121":7737.749015124213}}}}</v>
      </c>
      <c r="J200" s="8" t="str">
        <f t="shared" si="3"/>
        <v>[{"long_name":"Barren Island","short_name":"Barren Island","types":["establishment","natural_feature"]},{"short_name":"AN","types":["administrative_area_level_1","political"],"long_name":"Andaman and Nicobar Islands"},{"short_name":"IN","types":["country","political"],"long_name":"India"},{"short_name":"7M4M7VH6+M5","types":["plus_code"],"long_name":"7M4M7VH6+M5"},{"types":["latitude"],"long_name":12.2792303,"short_name":12.2792303},{"types":["longitude"],"long_name":93.86044020000001,"short_name":93.86044020000001},{"types":["debug_info","cache_load_result"],"long_name":"hit","short_name":"hit"}]</v>
      </c>
      <c r="K200" s="9" t="b">
        <f t="shared" si="276"/>
        <v>1</v>
      </c>
      <c r="L200" s="8" t="b">
        <f t="shared" si="4"/>
        <v>0</v>
      </c>
      <c r="M200" s="10" t="b">
        <v>1</v>
      </c>
      <c r="N200" s="8">
        <f t="shared" si="277"/>
        <v>12.2792303</v>
      </c>
      <c r="O200" s="8">
        <f t="shared" si="278"/>
        <v>93.8604402</v>
      </c>
      <c r="P200" s="8" t="str">
        <f t="shared" si="279"/>
        <v>UNDEFINED</v>
      </c>
      <c r="Q200" s="8" t="str">
        <f t="shared" si="280"/>
        <v>Andaman and Nicobar Islands</v>
      </c>
      <c r="R200" s="8" t="str">
        <f t="shared" si="281"/>
        <v>UNDEFINED</v>
      </c>
      <c r="S200" s="8" t="str">
        <f t="shared" si="282"/>
        <v>India</v>
      </c>
      <c r="T200" s="11" t="str">
        <f t="shared" si="283"/>
        <v>Not Driveable</v>
      </c>
      <c r="U200" s="12" t="str">
        <f t="shared" si="284"/>
        <v>Not Driveable</v>
      </c>
      <c r="V200" s="13">
        <f t="shared" si="285"/>
        <v>7737.749015</v>
      </c>
      <c r="X200" s="4" t="str">
        <f t="shared" si="5"/>
        <v>N/A</v>
      </c>
      <c r="Y200" s="4"/>
      <c r="Z200" s="4" t="s">
        <v>38</v>
      </c>
      <c r="AB200" s="14" t="s">
        <v>69</v>
      </c>
    </row>
    <row r="201">
      <c r="A201" s="3" t="s">
        <v>695</v>
      </c>
      <c r="B201" s="4" t="s">
        <v>775</v>
      </c>
      <c r="C201" s="4" t="s">
        <v>776</v>
      </c>
      <c r="D201" s="4"/>
      <c r="E201" s="3" t="s">
        <v>43</v>
      </c>
      <c r="F201" s="4" t="s">
        <v>777</v>
      </c>
      <c r="G201" s="6" t="str">
        <f t="shared" si="1"/>
        <v>Link</v>
      </c>
      <c r="H201" s="3" t="s">
        <v>45</v>
      </c>
      <c r="I201" s="8" t="str">
        <f t="shared" si="2"/>
        <v>{"address_components":[{"long_name":"Jeffrey City","short_name":"Jeffrey City","types":["locality","political"]},{"long_name":"Fremont County","short_name":"Fremont County","types":["administrative_area_level_2","political"]},{"long_name":"Wyoming","short_name":"WY","types":["administrative_area_level_1","political"]},{"long_name":"United States","short_name":"US","types":["country","political"]},{"short_name":"82310","types":["postal_code"],"long_name":"82310"},{"short_name":"4189","types":["street_number"],"long_name":"4189"},{"short_name":"WY-789","types":["route"],"long_name":"Wyoming 789"},{"long_name":"Jeffrey City","types":["locality","political"],"short_name":"Jeffrey City"},{"long_name":"Fremont County","types":["administrative_area_level_2","political"],"short_name":"Fremont County"},{"short_name":"WY","types":["administrative_area_level_1","political"],"long_name":"Wyoming"},{"long_name":"United States","types":["country","political"],"short_name":"US"},{"long_name":"82310","short_name":"82310","types":["postal_code"]},{"types":["latitude"],"long_name":42.4946782,"short_name":42.4946782},{"types":["longitude"],"long_name":-107.8273018,"short_name":-107.8273018}],"distance_from":{"mi":{"driving":{"2116 4th Ave, Seattle, WA, 98121":1077.6262318714505},"flying":{"2116 4th Ave, Seattle, WA, 98121":790.1549703605205}}},"duration_from":{"days":{"driving":{"2116 4th Ave, Seattle, WA, 98121":0.6669444444444445}}}}</v>
      </c>
      <c r="J201" s="8" t="str">
        <f t="shared" si="3"/>
        <v>[{"long_name":"Jeffrey City","short_name":"Jeffrey City","types":["locality","political"]},{"long_name":"Fremont County","short_name":"Fremont County","types":["administrative_area_level_2","political"]},{"long_name":"Wyoming","short_name":"WY","types":["administrative_area_level_1","political"]},{"long_name":"United States","short_name":"US","types":["country","political"]},{"short_name":"82310","types":["postal_code"],"long_name":"82310"},{"short_name":"4189","types":["street_number"],"long_name":"4189"},{"short_name":"WY-789","types":["route"],"long_name":"Wyoming 789"},{"long_name":"Jeffrey City","types":["locality","political"],"short_name":"Jeffrey City"},{"long_name":"Fremont County","types":["administrative_area_level_2","political"],"short_name":"Fremont County"},{"short_name":"WY","types":["administrative_area_level_1","political"],"long_name":"Wyoming"},{"long_name":"United States","types":["country","political"],"short_name":"US"},{"long_name":"82310","short_name":"82310","types":["postal_code"]},{"types":["latitude"],"long_name":42.4946782,"short_name":42.4946782},{"types":["longitude"],"long_name":-107.8273018,"short_name":-107.8273018},{"types":["debug_info","cache_load_result"],"long_name":"hit","short_name":"hit"}]</v>
      </c>
      <c r="K201" s="9" t="b">
        <f t="shared" si="276"/>
        <v>1</v>
      </c>
      <c r="L201" s="8" t="b">
        <f t="shared" si="4"/>
        <v>1</v>
      </c>
      <c r="M201" s="10" t="b">
        <v>1</v>
      </c>
      <c r="N201" s="8">
        <f t="shared" si="277"/>
        <v>42.4946782</v>
      </c>
      <c r="O201" s="8">
        <f t="shared" si="278"/>
        <v>-107.8273018</v>
      </c>
      <c r="P201" s="8" t="str">
        <f t="shared" si="279"/>
        <v>Jeffrey City</v>
      </c>
      <c r="Q201" s="8" t="str">
        <f t="shared" si="280"/>
        <v>Wyoming</v>
      </c>
      <c r="R201" s="8" t="str">
        <f t="shared" si="281"/>
        <v>82310</v>
      </c>
      <c r="S201" s="8" t="str">
        <f t="shared" si="282"/>
        <v>United States</v>
      </c>
      <c r="T201" s="11">
        <f t="shared" si="283"/>
        <v>1077.626232</v>
      </c>
      <c r="U201" s="12">
        <f t="shared" si="284"/>
        <v>0.6669444444</v>
      </c>
      <c r="V201" s="13">
        <f t="shared" si="285"/>
        <v>790.1549704</v>
      </c>
      <c r="W201" s="4"/>
      <c r="X201" s="4" t="str">
        <f t="shared" si="5"/>
        <v>N/A</v>
      </c>
      <c r="Y201" s="4"/>
      <c r="Z201" s="4" t="s">
        <v>38</v>
      </c>
      <c r="AB201" s="14" t="s">
        <v>778</v>
      </c>
      <c r="AF201" s="4"/>
    </row>
    <row r="202" hidden="1">
      <c r="A202" s="3" t="s">
        <v>695</v>
      </c>
      <c r="B202" s="4" t="s">
        <v>779</v>
      </c>
      <c r="C202" s="4" t="s">
        <v>780</v>
      </c>
      <c r="D202" s="4" t="s">
        <v>781</v>
      </c>
      <c r="E202" s="3" t="s">
        <v>68</v>
      </c>
      <c r="F202" s="4" t="s">
        <v>782</v>
      </c>
      <c r="G202" s="6" t="str">
        <f t="shared" si="1"/>
        <v>Link</v>
      </c>
      <c r="H202" s="5"/>
      <c r="I202" s="7" t="str">
        <f t="shared" si="2"/>
        <v>{"distance_from":{"mi":{"flying":{"2116 4th Ave, Seattle, WA, 98121":2409.5560913169375},"driving":{"2116 4th Ave, Seattle, WA, 98121":2933.6237215255946}}},"duration_from":{"days":{"driving":{"2116 4th Ave, Seattle, WA, 98121":1.8081712962962966}}},"address_components":[{"short_name":"Morgan Island","types":["establishment","natural_feature"],"long_name":"Morgan Island"},{"short_name":"Beaufort County","types":["administrative_area_level_2","political"],"long_name":"Beaufort County"},{"long_name":"South Carolina","short_name":"SC","types":["administrative_area_level_1","political"]},{"long_name":"United States","short_name":"US","types":["country","political"]},{"long_name":"29920","short_name":"29920","types":["postal_code"]},{"long_name":"FFGJ+X5","short_name":"FFGJ+X5","types":["plus_code"]},{"long_name":"Edisto Island","short_name":"Edisto Island","types":["locality","political"]},{"long_name":"Charleston County","short_name":"Charleston County","types":["administrative_area_level_2","political"]},{"long_name":"South Carolina","short_name":"SC","types":["administrative_area_level_1","political"]},{"long_name":"United States","short_name":"US","types":["country","political"]},{"long_name":"29438","short_name":"29438","types":["postal_code"]},{"types":["latitude"],"long_name":32.4774117,"short_name":32.4774117},{"types":["longitude"],"long_name":-80.5195497,"short_name":-80.5195497}]}</v>
      </c>
      <c r="J202" s="8" t="str">
        <f t="shared" si="3"/>
        <v>[{"short_name":"Morgan Island","types":["establishment","natural_feature"],"long_name":"Morgan Island"},{"short_name":"Beaufort County","types":["administrative_area_level_2","political"],"long_name":"Beaufort County"},{"long_name":"South Carolina","short_name":"SC","types":["administrative_area_level_1","political"]},{"long_name":"United States","short_name":"US","types":["country","political"]},{"long_name":"29920","short_name":"29920","types":["postal_code"]},{"long_name":"FFGJ+X5","short_name":"FFGJ+X5","types":["plus_code"]},{"long_name":"Edisto Island","short_name":"Edisto Island","types":["locality","political"]},{"long_name":"Charleston County","short_name":"Charleston County","types":["administrative_area_level_2","political"]},{"long_name":"South Carolina","short_name":"SC","types":["administrative_area_level_1","political"]},{"long_name":"United States","short_name":"US","types":["country","political"]},{"long_name":"29438","short_name":"29438","types":["postal_code"]},{"types":["latitude"],"long_name":32.4774117,"short_name":32.4774117},{"types":["longitude"],"long_name":-80.5195497,"short_name":-80.5195497},{"types":["debug_info","cache_load_result"],"long_name":"hit","short_name":"hit"}]</v>
      </c>
      <c r="K202" s="9" t="b">
        <f t="shared" si="276"/>
        <v>1</v>
      </c>
      <c r="L202" s="8" t="b">
        <f t="shared" si="4"/>
        <v>0</v>
      </c>
      <c r="M202" s="10" t="b">
        <v>1</v>
      </c>
      <c r="N202" s="8">
        <f t="shared" si="277"/>
        <v>32.4774117</v>
      </c>
      <c r="O202" s="8">
        <f t="shared" si="278"/>
        <v>-80.5195497</v>
      </c>
      <c r="P202" s="8" t="str">
        <f t="shared" si="279"/>
        <v>Edisto Island</v>
      </c>
      <c r="Q202" s="8" t="str">
        <f t="shared" si="280"/>
        <v>South Carolina</v>
      </c>
      <c r="R202" s="8" t="str">
        <f t="shared" si="281"/>
        <v>29920</v>
      </c>
      <c r="S202" s="8" t="str">
        <f t="shared" si="282"/>
        <v>United States</v>
      </c>
      <c r="T202" s="11">
        <f t="shared" si="283"/>
        <v>2933.623722</v>
      </c>
      <c r="U202" s="12">
        <f t="shared" si="284"/>
        <v>1.808171296</v>
      </c>
      <c r="V202" s="13">
        <f t="shared" si="285"/>
        <v>2409.556091</v>
      </c>
      <c r="X202" s="4" t="str">
        <f t="shared" si="5"/>
        <v>N/A</v>
      </c>
      <c r="Y202" s="4"/>
      <c r="Z202" s="4" t="s">
        <v>38</v>
      </c>
      <c r="AB202" s="14" t="s">
        <v>69</v>
      </c>
    </row>
    <row r="203">
      <c r="A203" s="3" t="s">
        <v>695</v>
      </c>
      <c r="B203" s="4" t="s">
        <v>783</v>
      </c>
      <c r="C203" s="4"/>
      <c r="D203" s="4"/>
      <c r="E203" s="5"/>
      <c r="F203" s="4" t="s">
        <v>784</v>
      </c>
      <c r="G203" s="6" t="str">
        <f t="shared" si="1"/>
        <v>Link</v>
      </c>
      <c r="H203" s="3" t="s">
        <v>323</v>
      </c>
      <c r="I203" s="8" t="str">
        <f t="shared" si="2"/>
        <v>{"distance_from":{"mi":{"driving":{"2116 4th Ave, Seattle, WA, 98121":965.2975754035816},"flying":{"2116 4th Ave, Seattle, WA, 98121":802.5873960754099}}},"address_components":[{"long_name":"Carbon County","short_name":"Carbon County","types":["administrative_area_level_2","political"]},{"short_name":"UT","types":["administrative_area_level_1","political"],"long_name":"Utah"},{"long_name":"United States","types":["country","political"],"short_name":"US"},{"short_name":"J9XM+56","long_name":"J9XM+56","types":["plus_code"]},{"long_name":"Wellington","short_name":"Wellington","types":["locality","political"]},{"short_name":"Carbon County","long_name":"Carbon County","types":["administrative_area_level_2","political"]},{"short_name":"UT","long_name":"Utah","types":["administrative_area_level_1","political"]},{"long_name":"United States","short_name":"US","types":["country","political"]},{"types":["latitude"],"long_name":39.6479807,"short_name":39.6479807},{"types":["longitude"],"long_name":-110.6168921,"short_name":-110.6168921}],"duration_from":{"days":{"driving":{"2116 4th Ave, Seattle, WA, 98121":0.6053356481481481}}}}</v>
      </c>
      <c r="J203" s="8" t="str">
        <f t="shared" si="3"/>
        <v>[{"long_name":"Carbon County","short_name":"Carbon County","types":["administrative_area_level_2","political"]},{"short_name":"UT","types":["administrative_area_level_1","political"],"long_name":"Utah"},{"long_name":"United States","types":["country","political"],"short_name":"US"},{"short_name":"J9XM+56","long_name":"J9XM+56","types":["plus_code"]},{"long_name":"Wellington","short_name":"Wellington","types":["locality","political"]},{"short_name":"Carbon County","long_name":"Carbon County","types":["administrative_area_level_2","political"]},{"short_name":"UT","long_name":"Utah","types":["administrative_area_level_1","political"]},{"long_name":"United States","short_name":"US","types":["country","political"]},{"types":["latitude"],"long_name":39.6479807,"short_name":39.6479807},{"types":["longitude"],"long_name":-110.6168921,"short_name":-110.6168921},{"types":["debug_info","cache_load_result"],"long_name":"hit","short_name":"hit"}]</v>
      </c>
      <c r="K203" s="9" t="b">
        <f t="shared" si="276"/>
        <v>1</v>
      </c>
      <c r="L203" s="8" t="b">
        <f t="shared" si="4"/>
        <v>0</v>
      </c>
      <c r="M203" s="10" t="b">
        <v>1</v>
      </c>
      <c r="N203" s="8">
        <f t="shared" si="277"/>
        <v>39.6479807</v>
      </c>
      <c r="O203" s="8">
        <f t="shared" si="278"/>
        <v>-110.6168921</v>
      </c>
      <c r="P203" s="8" t="str">
        <f t="shared" si="279"/>
        <v>Wellington</v>
      </c>
      <c r="Q203" s="8" t="str">
        <f t="shared" si="280"/>
        <v>Utah</v>
      </c>
      <c r="R203" s="8" t="str">
        <f t="shared" si="281"/>
        <v>UNDEFINED</v>
      </c>
      <c r="S203" s="8" t="str">
        <f t="shared" si="282"/>
        <v>United States</v>
      </c>
      <c r="T203" s="11">
        <f t="shared" si="283"/>
        <v>965.2975754</v>
      </c>
      <c r="U203" s="12">
        <f t="shared" si="284"/>
        <v>0.6053356481</v>
      </c>
      <c r="V203" s="13">
        <f t="shared" si="285"/>
        <v>802.5873961</v>
      </c>
      <c r="X203" s="4" t="str">
        <f t="shared" si="5"/>
        <v>N/A</v>
      </c>
      <c r="Y203" s="4"/>
      <c r="Z203" s="4" t="s">
        <v>38</v>
      </c>
    </row>
    <row r="204" hidden="1">
      <c r="A204" s="3" t="s">
        <v>695</v>
      </c>
      <c r="B204" s="4" t="s">
        <v>785</v>
      </c>
      <c r="C204" s="4" t="s">
        <v>786</v>
      </c>
      <c r="D204" s="4" t="s">
        <v>787</v>
      </c>
      <c r="E204" s="3" t="s">
        <v>147</v>
      </c>
      <c r="F204" s="4" t="s">
        <v>785</v>
      </c>
      <c r="G204" s="6" t="str">
        <f t="shared" si="1"/>
        <v>Link</v>
      </c>
      <c r="H204" s="5"/>
      <c r="I204" s="7" t="str">
        <f t="shared" si="2"/>
        <v>{"address_components":[{"long_name":"25","short_name":"25","types":["street_number"]},{"short_name":"Rue Carnot","long_name":"Rue Carnot","types":["route"]},{"long_name":"Avignon","short_name":"Avignon","types":["locality","political"]},{"long_name":"Vaucluse","types":["administrative_area_level_2","political"],"short_name":"Vaucluse"},{"long_name":"Provence-Alpes-Côte d'Azur","short_name":"Provence-Alpes-Côte d'Azur","types":["administrative_area_level_1","political"]},{"long_name":"France","types":["country","political"],"short_name":"FR"},{"long_name":"84000","short_name":"84000","types":["postal_code"]},{"long_name":"25","short_name":"25","types":["street_number"]},{"long_name":"Rue Carnot","types":["route"],"short_name":"Rue Carnot"},{"short_name":"Avignon","long_name":"Avignon","types":["locality","political"]},{"long_name":"Vaucluse","short_name":"Vaucluse","types":["administrative_area_level_2","political"]},{"short_name":"Provence-Alpes-Côte d'Azur","types":["administrative_area_level_1","political"],"long_name":"Provence-Alpes-Côte d'Azur"},{"long_name":"France","types":["country","political"],"short_name":"FR"},{"long_name":"84000","types":["postal_code"],"short_name":"84000"},{"types":["latitude"],"long_name":43.949319,"short_name":43.949319},{"types":["longitude"],"long_name":4.810061,"short_name":4.810061}],"distance_from":{"mi":{"flying":{"2116 4th Ave, Seattle, WA, 98121":5342.268880410604},"driving":{"2116 4th Ave, Seattle, WA, 98121":"GOOGLE_MAPS_ERROR_CACHED - No route found!"}}},"duration_from":{"days":{"driving":{"2116 4th Ave, Seattle, WA, 98121":"GOOGLE_MAPS_ERROR_CACHED - No route found!"}}}}</v>
      </c>
      <c r="J204" s="8" t="str">
        <f t="shared" si="3"/>
        <v>[{"long_name":"25","short_name":"25","types":["street_number"]},{"short_name":"Rue Carnot","long_name":"Rue Carnot","types":["route"]},{"long_name":"Avignon","short_name":"Avignon","types":["locality","political"]},{"long_name":"Vaucluse","types":["administrative_area_level_2","political"],"short_name":"Vaucluse"},{"long_name":"Provence-Alpes-Côte d'Azur","short_name":"Provence-Alpes-Côte d'Azur","types":["administrative_area_level_1","political"]},{"long_name":"France","types":["country","political"],"short_name":"FR"},{"long_name":"84000","short_name":"84000","types":["postal_code"]},{"long_name":"25","short_name":"25","types":["street_number"]},{"long_name":"Rue Carnot","types":["route"],"short_name":"Rue Carnot"},{"short_name":"Avignon","long_name":"Avignon","types":["locality","political"]},{"long_name":"Vaucluse","short_name":"Vaucluse","types":["administrative_area_level_2","political"]},{"short_name":"Provence-Alpes-Côte d'Azur","types":["administrative_area_level_1","political"],"long_name":"Provence-Alpes-Côte d'Azur"},{"long_name":"France","types":["country","political"],"short_name":"FR"},{"long_name":"84000","types":["postal_code"],"short_name":"84000"},{"types":["latitude"],"long_name":43.949319,"short_name":43.949319},{"types":["longitude"],"long_name":4.810061,"short_name":4.810061},{"types":["debug_info","cache_load_result"],"long_name":"hit","short_name":"hit"}]</v>
      </c>
      <c r="K204" s="9" t="b">
        <f t="shared" si="276"/>
        <v>1</v>
      </c>
      <c r="L204" s="8" t="b">
        <f t="shared" si="4"/>
        <v>0</v>
      </c>
      <c r="M204" s="10" t="b">
        <v>1</v>
      </c>
      <c r="N204" s="8">
        <f t="shared" si="277"/>
        <v>43.949319</v>
      </c>
      <c r="O204" s="8">
        <f t="shared" si="278"/>
        <v>4.810061</v>
      </c>
      <c r="P204" s="8" t="str">
        <f t="shared" si="279"/>
        <v>Avignon</v>
      </c>
      <c r="Q204" s="8" t="str">
        <f t="shared" si="280"/>
        <v>Provence-Alpes-Côte d'Azur</v>
      </c>
      <c r="R204" s="8" t="str">
        <f t="shared" si="281"/>
        <v>84000</v>
      </c>
      <c r="S204" s="8" t="str">
        <f t="shared" si="282"/>
        <v>France</v>
      </c>
      <c r="T204" s="11" t="str">
        <f t="shared" si="283"/>
        <v>Not Driveable</v>
      </c>
      <c r="U204" s="12" t="str">
        <f t="shared" si="284"/>
        <v>Not Driveable</v>
      </c>
      <c r="V204" s="13">
        <f t="shared" si="285"/>
        <v>5342.26888</v>
      </c>
      <c r="X204" s="4" t="str">
        <f t="shared" si="5"/>
        <v>N/A</v>
      </c>
      <c r="Y204" s="4"/>
      <c r="Z204" s="4" t="s">
        <v>38</v>
      </c>
      <c r="AB204" s="14" t="s">
        <v>69</v>
      </c>
    </row>
    <row r="205" hidden="1">
      <c r="A205" s="3" t="s">
        <v>695</v>
      </c>
      <c r="B205" s="4" t="s">
        <v>788</v>
      </c>
      <c r="C205" s="4"/>
      <c r="D205" s="4"/>
      <c r="E205" s="5"/>
      <c r="F205" s="4" t="s">
        <v>789</v>
      </c>
      <c r="G205" s="6" t="str">
        <f t="shared" si="1"/>
        <v>Link</v>
      </c>
      <c r="H205" s="3" t="s">
        <v>136</v>
      </c>
      <c r="I205" s="8" t="str">
        <f t="shared" si="2"/>
        <v>{"address_components":[{"short_name":"Hyde Manor","types":["neighborhood","political"],"long_name":"Hyde Manor"},{"short_name":"Sudbury","types":["locality","political"],"long_name":"Sudbury"},{"short_name":"Rutland County","long_name":"Rutland County","types":["administrative_area_level_2","political"]},{"long_name":"Vermont","short_name":"VT","types":["administrative_area_level_1","political"]},{"types":["country","political"],"long_name":"United States","short_name":"US"},{"short_name":"05733","long_name":"05733","types":["postal_code"]},{"short_name":"3915","long_name":"3915","types":["street_number"]},{"short_name":"VT-30","long_name":"Vermont 30","types":["route"]},{"short_name":"Sudbury","long_name":"Sudbury","types":["locality","political"]},{"long_name":"Rutland County","short_name":"Rutland County","types":["administrative_area_level_2","political"]},{"short_name":"VT","types":["administrative_area_level_1","political"],"long_name":"Vermont"},{"short_name":"US","long_name":"United States","types":["country","political"]},{"types":["postal_code"],"short_name":"05733","long_name":"05733"},{"types":["latitude"],"long_name":43.783396,"short_name":43.783396},{"types":["longitude"],"long_name":-73.20261359999999,"short_name":-73.20261359999999}]}</v>
      </c>
      <c r="J205" s="8" t="str">
        <f t="shared" si="3"/>
        <v>[{"short_name":"Hyde Manor","types":["neighborhood","political"],"long_name":"Hyde Manor"},{"short_name":"Sudbury","types":["locality","political"],"long_name":"Sudbury"},{"short_name":"Rutland County","long_name":"Rutland County","types":["administrative_area_level_2","political"]},{"long_name":"Vermont","short_name":"VT","types":["administrative_area_level_1","political"]},{"types":["country","political"],"long_name":"United States","short_name":"US"},{"short_name":"05733","long_name":"05733","types":["postal_code"]},{"short_name":"3915","long_name":"3915","types":["street_number"]},{"short_name":"VT-30","long_name":"Vermont 30","types":["route"]},{"short_name":"Sudbury","long_name":"Sudbury","types":["locality","political"]},{"long_name":"Rutland County","short_name":"Rutland County","types":["administrative_area_level_2","political"]},{"short_name":"VT","types":["administrative_area_level_1","political"],"long_name":"Vermont"},{"short_name":"US","long_name":"United States","types":["country","political"]},{"types":["postal_code"],"short_name":"05733","long_name":"05733"},{"types":["latitude"],"long_name":43.783396,"short_name":43.783396},{"types":["longitude"],"long_name":-73.20261359999999,"short_name":-73.20261359999999},{"types":["debug_info","cache_load_result"],"long_name":"hit","short_name":"hit"}]</v>
      </c>
      <c r="K205" s="9" t="b">
        <f t="shared" ref="K205:K206" si="286">NOT(AND(NOT(_xlfn.ISFORMULA(P205)),AND(NOT(_xlfn.ISFORMULA(Q205)),AND(NOT(_xlfn.ISFORMULA(R205)),AND(NOT(_xlfn.ISFORMULA(S205)),AND(NOT(_xlfn.ISFORMULA(T205)),AND(NOT(_xlfn.ISFORMULA(U205)),AND(NOT(_xlfn.ISFORMULA(V205)),AND(NOT(_xlfn.ISFORMULA(N205)),NOT(_xlfn.ISFORMULA(O205)))))))))))</f>
        <v>0</v>
      </c>
      <c r="L205" s="8" t="b">
        <f t="shared" si="4"/>
        <v>1</v>
      </c>
      <c r="M205" s="10" t="b">
        <v>1</v>
      </c>
      <c r="N205" s="10">
        <v>43.783396</v>
      </c>
      <c r="O205" s="10">
        <v>-73.2026136</v>
      </c>
      <c r="P205" s="10" t="s">
        <v>790</v>
      </c>
      <c r="Q205" s="10" t="s">
        <v>791</v>
      </c>
      <c r="R205" s="10">
        <v>5733.0</v>
      </c>
      <c r="S205" s="10" t="s">
        <v>47</v>
      </c>
      <c r="T205" s="19">
        <v>2943.4</v>
      </c>
      <c r="U205" s="32">
        <v>1.8301967592592592</v>
      </c>
      <c r="V205" s="18">
        <v>2346.04</v>
      </c>
      <c r="W205" s="4"/>
      <c r="X205" s="4" t="str">
        <f t="shared" si="5"/>
        <v>N/A</v>
      </c>
      <c r="Y205" s="4"/>
      <c r="Z205" s="4" t="s">
        <v>38</v>
      </c>
      <c r="AB205" s="14" t="s">
        <v>792</v>
      </c>
      <c r="AF205" s="4" t="s">
        <v>793</v>
      </c>
    </row>
    <row r="206" hidden="1">
      <c r="A206" s="34" t="s">
        <v>695</v>
      </c>
      <c r="B206" s="4" t="s">
        <v>794</v>
      </c>
      <c r="C206" s="4"/>
      <c r="D206" s="4"/>
      <c r="E206" s="5"/>
      <c r="F206" s="4" t="s">
        <v>795</v>
      </c>
      <c r="G206" s="6" t="str">
        <f t="shared" si="1"/>
        <v>Link</v>
      </c>
      <c r="H206" s="3" t="s">
        <v>136</v>
      </c>
      <c r="I206" s="8" t="str">
        <f t="shared" si="2"/>
        <v>{"address_components":[{"types":["locality","political"],"long_name":"Fort Casey","short_name":"Fort Casey"},{"long_name":"Island County","types":["administrative_area_level_2","political"],"short_name":"Island County"},{"types":["administrative_area_level_1","political"],"short_name":"WA","long_name":"Washington"},{"types":["country","political"],"short_name":"US","long_name":"United States"},{"types":["postal_code"],"short_name":"98239","long_name":"98239"},{"types":["street_number"],"short_name":"1276","long_name":"1276"},{"types":["route"],"long_name":"Engle Road","short_name":"Engle Rd"},{"long_name":"Coupeville","short_name":"Coupeville","types":["locality","political"]},{"long_name":"Island County","types":["administrative_area_level_2","political"],"short_name":"Island County"},{"long_name":"Washington","types":["administrative_area_level_1","political"],"short_name":"WA"},{"long_name":"United States","types":["country","political"],"short_name":"US"},{"types":["postal_code"],"long_name":"98239","short_name":"98239"},{"types":["postal_code_suffix"],"long_name":"3517","short_name":"3517"},{"types":["latitude"],"long_name":48.16444,"short_name":48.16444},{"types":["longitude"],"long_name":-122.6775,"short_name":-122.6775}]}</v>
      </c>
      <c r="J206" s="8" t="str">
        <f t="shared" si="3"/>
        <v>[{"types":["locality","political"],"long_name":"Fort Casey","short_name":"Fort Casey"},{"long_name":"Island County","types":["administrative_area_level_2","political"],"short_name":"Island County"},{"types":["administrative_area_level_1","political"],"short_name":"WA","long_name":"Washington"},{"types":["country","political"],"short_name":"US","long_name":"United States"},{"types":["postal_code"],"short_name":"98239","long_name":"98239"},{"types":["street_number"],"short_name":"1276","long_name":"1276"},{"types":["route"],"long_name":"Engle Road","short_name":"Engle Rd"},{"long_name":"Coupeville","short_name":"Coupeville","types":["locality","political"]},{"long_name":"Island County","types":["administrative_area_level_2","political"],"short_name":"Island County"},{"long_name":"Washington","types":["administrative_area_level_1","political"],"short_name":"WA"},{"long_name":"United States","types":["country","political"],"short_name":"US"},{"types":["postal_code"],"long_name":"98239","short_name":"98239"},{"types":["postal_code_suffix"],"long_name":"3517","short_name":"3517"},{"types":["latitude"],"long_name":48.16444,"short_name":48.16444},{"types":["longitude"],"long_name":-122.6775,"short_name":-122.6775},{"types":["debug_info","cache_load_result"],"long_name":"hit","short_name":"hit"}]</v>
      </c>
      <c r="K206" s="9" t="b">
        <f t="shared" si="286"/>
        <v>0</v>
      </c>
      <c r="L206" s="8" t="b">
        <f t="shared" si="4"/>
        <v>1</v>
      </c>
      <c r="M206" s="10" t="b">
        <v>1</v>
      </c>
      <c r="N206" s="10">
        <v>48.16444</v>
      </c>
      <c r="O206" s="10">
        <v>-122.6775</v>
      </c>
      <c r="P206" s="10" t="s">
        <v>794</v>
      </c>
      <c r="Q206" s="10" t="s">
        <v>193</v>
      </c>
      <c r="R206" s="10">
        <v>98239.0</v>
      </c>
      <c r="S206" s="10" t="s">
        <v>47</v>
      </c>
      <c r="T206" s="19">
        <v>55.8</v>
      </c>
      <c r="U206" s="32">
        <v>0.07082175925925926</v>
      </c>
      <c r="V206" s="18">
        <v>41.07</v>
      </c>
      <c r="W206" s="4"/>
      <c r="X206" s="4" t="str">
        <f t="shared" si="5"/>
        <v>N/A</v>
      </c>
      <c r="Y206" s="4"/>
      <c r="Z206" s="4" t="s">
        <v>38</v>
      </c>
      <c r="AA206" s="4"/>
      <c r="AB206" s="14" t="s">
        <v>796</v>
      </c>
      <c r="AC206" s="14" t="s">
        <v>348</v>
      </c>
      <c r="AD206" s="4"/>
    </row>
    <row r="207">
      <c r="A207" s="3" t="s">
        <v>695</v>
      </c>
      <c r="B207" s="4" t="s">
        <v>797</v>
      </c>
      <c r="D207" s="4" t="s">
        <v>798</v>
      </c>
      <c r="E207" s="5"/>
      <c r="F207" s="4" t="s">
        <v>797</v>
      </c>
      <c r="G207" s="6" t="str">
        <f t="shared" si="1"/>
        <v>Link</v>
      </c>
      <c r="H207" s="3" t="s">
        <v>45</v>
      </c>
      <c r="I207" s="7" t="str">
        <f t="shared" si="2"/>
        <v>{"duration_from":{"days":{"driving":{"2116 4th Ave, Seattle, WA, 98121":0.7528587962962963}}},"distance_from":{"mi":{"flying":{"2116 4th Ave, Seattle, WA, 98121":919.7546820435707},"driving":{"2116 4th Ave, Seattle, WA, 98121":1171.4945257061902}}},"address_components":[{"short_name":"Calico","long_name":"Calico","types":["colloquial_area","political"]},{"types":["administrative_area_level_2","political"],"short_name":"San Bernardino County","long_name":"San Bernardino County"},{"long_name":"California","short_name":"CA","types":["administrative_area_level_1","political"]},{"types":["country","political"],"short_name":"US","long_name":"United States"},{"types":["postal_code"],"short_name":"92311","long_name":"92311"},{"long_name":"Ghost Town Road","types":["route"],"short_name":"Ghost Town Rd"},{"short_name":"Barstow","long_name":"Barstow","types":["locality","political"]},{"types":["administrative_area_level_2","political"],"short_name":"San Bernardino County","long_name":"San Bernardino County"},{"long_name":"California","types":["administrative_area_level_1","political"],"short_name":"CA"},{"long_name":"United States","short_name":"US","types":["country","political"]},{"long_name":"92311","short_name":"92311","types":["postal_code"]},{"types":["latitude"],"long_name":34.9455639,"short_name":34.9455639},{"types":["longitude"],"long_name":-116.8653421,"short_name":-116.8653421}]}</v>
      </c>
      <c r="J207" s="8" t="str">
        <f t="shared" si="3"/>
        <v>[{"short_name":"Calico","long_name":"Calico","types":["colloquial_area","political"]},{"types":["administrative_area_level_2","political"],"short_name":"San Bernardino County","long_name":"San Bernardino County"},{"long_name":"California","short_name":"CA","types":["administrative_area_level_1","political"]},{"types":["country","political"],"short_name":"US","long_name":"United States"},{"types":["postal_code"],"short_name":"92311","long_name":"92311"},{"long_name":"Ghost Town Road","types":["route"],"short_name":"Ghost Town Rd"},{"short_name":"Barstow","long_name":"Barstow","types":["locality","political"]},{"types":["administrative_area_level_2","political"],"short_name":"San Bernardino County","long_name":"San Bernardino County"},{"long_name":"California","types":["administrative_area_level_1","political"],"short_name":"CA"},{"long_name":"United States","short_name":"US","types":["country","political"]},{"long_name":"92311","short_name":"92311","types":["postal_code"]},{"types":["latitude"],"long_name":34.9455639,"short_name":34.9455639},{"types":["longitude"],"long_name":-116.8653421,"short_name":-116.8653421},{"types":["debug_info","cache_load_result"],"long_name":"hit","short_name":"hit"}]</v>
      </c>
      <c r="K207" s="9" t="b">
        <f t="shared" ref="K207:K210" si="287">NOT(AND(NOT(_xlfn.ISFORMULA(P207)),AND(NOT(_xlfn.ISFORMULA(Q207)),AND(NOT(_xlfn.ISFORMULA(R207)),AND(NOT(_xlfn.ISFORMULA(S207)),AND(NOT(_xlfn.ISFORMULA(T207)),AND(NOT(_xlfn.ISFORMULA(U207)),AND(NOT(_xlfn.ISFORMULA(V207))))))))))</f>
        <v>1</v>
      </c>
      <c r="L207" s="8" t="b">
        <f t="shared" si="4"/>
        <v>0</v>
      </c>
      <c r="M207" s="10" t="b">
        <v>1</v>
      </c>
      <c r="N207" s="8">
        <f t="shared" ref="N207:N210" si="288">GOOGLEMAPS_GET_ADDRESS_LATITUDE(F207,true)</f>
        <v>34.9455639</v>
      </c>
      <c r="O207" s="8">
        <f t="shared" ref="O207:O210" si="289">GOOGLEMAPS_GET_ADDRESS_LONGITUDE(F207,true)</f>
        <v>-116.8653421</v>
      </c>
      <c r="P207" s="8" t="str">
        <f t="shared" ref="P207:P210" si="290">GOOGLEMAPS_GET_ADDRESS_CITY(F207,true,false)</f>
        <v>Barstow</v>
      </c>
      <c r="Q207" s="8" t="str">
        <f t="shared" ref="Q207:Q210" si="291">GOOGLEMAPS_GET_ADDRESS_STATE(F207,true,false)</f>
        <v>California</v>
      </c>
      <c r="R207" s="8" t="str">
        <f t="shared" ref="R207:R210" si="292">GOOGLEMAPS_GET_ADDRESS_POSTAL_CODE(F207,false,false)</f>
        <v>92311</v>
      </c>
      <c r="S207" s="8" t="str">
        <f t="shared" ref="S207:S210" si="293">GOOGLEMAPS_GET_ADDRESS_COUNTRY(F207,true,false)</f>
        <v>United States</v>
      </c>
      <c r="T207" s="11">
        <f t="shared" ref="T207:T210" si="294">IFERROR(GOOGLEMAPS_DISTANCE("2116 4th Ave, Seattle, WA, 98121", F207, "driving")+0,"Not Driveable")</f>
        <v>1171.494526</v>
      </c>
      <c r="U207" s="12">
        <f t="shared" ref="U207:U210" si="295">iferror(GOOGLEMAPS_DURATION("2116 4th Ave, Seattle, WA, 98121", F207, "driving")+0,"Not Driveable")</f>
        <v>0.7528587963</v>
      </c>
      <c r="V207" s="13">
        <f t="shared" ref="V207:V210" si="296">GOOGLEMAPS_DISTANCE("2116 4th Ave, Seattle, WA, 98121", F207, "flying")+0</f>
        <v>919.754682</v>
      </c>
      <c r="X207" s="4" t="str">
        <f t="shared" si="5"/>
        <v>N/A</v>
      </c>
      <c r="Y207" s="4"/>
      <c r="Z207" s="4" t="s">
        <v>38</v>
      </c>
    </row>
    <row r="208" hidden="1">
      <c r="A208" s="3" t="s">
        <v>695</v>
      </c>
      <c r="B208" s="4" t="s">
        <v>799</v>
      </c>
      <c r="C208" s="4"/>
      <c r="D208" s="4"/>
      <c r="E208" s="5"/>
      <c r="F208" s="4" t="s">
        <v>800</v>
      </c>
      <c r="G208" s="6" t="str">
        <f t="shared" si="1"/>
        <v>Link</v>
      </c>
      <c r="H208" s="3" t="s">
        <v>136</v>
      </c>
      <c r="I208" s="8" t="str">
        <f t="shared" si="2"/>
        <v>{"address_components":[{"long_name":"Tillamook Head","short_name":"Tillamook Head","types":["establishment","natural_feature"]},{"long_name":"Clatsop County","short_name":"Clatsop County","types":["administrative_area_level_2","political"]},{"long_name":"Oregon","short_name":"OR","types":["administrative_area_level_1","political"]},{"long_name":"United States","short_name":"US","types":["country","political"]},{"long_name":"97138","short_name":"97138","types":["postal_code"]},{"long_name":"W2RV+H7","short_name":"W2RV+H7","types":["plus_code"]},{"long_name":"Seaside","short_name":"Seaside","types":["locality","political"]},{"long_name":"Clatsop County","short_name":"Clatsop County","types":["administrative_area_level_2","political"]},{"long_name":"Oregon","short_name":"OR","types":["administrative_area_level_1","political"]},{"long_name":"United States","short_name":"US","types":["country","political"]},{"long_name":"97138","short_name":"97138","types":["postal_code"]},{"types":["latitude"],"long_name":45.94149640000001,"short_name":45.94149640000001},{"types":["longitude"],"long_name":-123.9568056,"short_name":-123.9568056}],"duration_from":{"days":{"driving":{"2116 4th Ave, Seattle, WA, 98121":0.15921296296296297}}},"distance_from":{"mi":{"driving":{"2116 4th Ave, Seattle, WA, 98121":198.49441385909753},"flying":{"2116 4th Ave, Seattle, WA, 98121":138.55990654554043}}}}</v>
      </c>
      <c r="J208" s="8" t="str">
        <f t="shared" si="3"/>
        <v>[{"long_name":"Tillamook Head","short_name":"Tillamook Head","types":["establishment","natural_feature"]},{"long_name":"Clatsop County","short_name":"Clatsop County","types":["administrative_area_level_2","political"]},{"long_name":"Oregon","short_name":"OR","types":["administrative_area_level_1","political"]},{"long_name":"United States","short_name":"US","types":["country","political"]},{"long_name":"97138","short_name":"97138","types":["postal_code"]},{"long_name":"W2RV+H7","short_name":"W2RV+H7","types":["plus_code"]},{"long_name":"Seaside","short_name":"Seaside","types":["locality","political"]},{"long_name":"Clatsop County","short_name":"Clatsop County","types":["administrative_area_level_2","political"]},{"long_name":"Oregon","short_name":"OR","types":["administrative_area_level_1","political"]},{"long_name":"United States","short_name":"US","types":["country","political"]},{"long_name":"97138","short_name":"97138","types":["postal_code"]},{"types":["latitude"],"long_name":45.94149640000001,"short_name":45.94149640000001},{"types":["longitude"],"long_name":-123.9568056,"short_name":-123.9568056},{"types":["debug_info","cache_load_result"],"long_name":"hit","short_name":"hit"}]</v>
      </c>
      <c r="K208" s="9" t="b">
        <f t="shared" si="287"/>
        <v>1</v>
      </c>
      <c r="L208" s="8" t="b">
        <f t="shared" si="4"/>
        <v>0</v>
      </c>
      <c r="M208" s="10" t="b">
        <v>1</v>
      </c>
      <c r="N208" s="8">
        <f t="shared" si="288"/>
        <v>45.9414964</v>
      </c>
      <c r="O208" s="8">
        <f t="shared" si="289"/>
        <v>-123.9568056</v>
      </c>
      <c r="P208" s="8" t="str">
        <f t="shared" si="290"/>
        <v>Seaside</v>
      </c>
      <c r="Q208" s="8" t="str">
        <f t="shared" si="291"/>
        <v>Oregon</v>
      </c>
      <c r="R208" s="8" t="str">
        <f t="shared" si="292"/>
        <v>97138</v>
      </c>
      <c r="S208" s="8" t="str">
        <f t="shared" si="293"/>
        <v>United States</v>
      </c>
      <c r="T208" s="11">
        <f t="shared" si="294"/>
        <v>198.4944139</v>
      </c>
      <c r="U208" s="12">
        <f t="shared" si="295"/>
        <v>0.159212963</v>
      </c>
      <c r="V208" s="13">
        <f t="shared" si="296"/>
        <v>138.5599065</v>
      </c>
      <c r="W208" s="4"/>
      <c r="X208" s="4" t="str">
        <f t="shared" si="5"/>
        <v>N/A</v>
      </c>
      <c r="Y208" s="4"/>
      <c r="Z208" s="4" t="s">
        <v>38</v>
      </c>
      <c r="AB208" s="14" t="s">
        <v>801</v>
      </c>
      <c r="AF208" s="4" t="s">
        <v>802</v>
      </c>
    </row>
    <row r="209">
      <c r="A209" s="3" t="s">
        <v>695</v>
      </c>
      <c r="B209" s="4" t="s">
        <v>803</v>
      </c>
      <c r="C209" s="4" t="s">
        <v>804</v>
      </c>
      <c r="D209" s="4"/>
      <c r="E209" s="3" t="s">
        <v>134</v>
      </c>
      <c r="F209" s="4" t="s">
        <v>805</v>
      </c>
      <c r="G209" s="6" t="str">
        <f t="shared" si="1"/>
        <v>Link</v>
      </c>
      <c r="H209" s="3" t="s">
        <v>45</v>
      </c>
      <c r="I209" s="8" t="str">
        <f t="shared" si="2"/>
        <v>{"duration_from":{"days":{"driving":{"2116 4th Ave, Seattle, WA, 98121":1.257986111111111}}},"address_components":[{"short_name":"10054","types":["street_number"],"long_name":"10054"},{"short_name":"State Hwy 76","types":["route"],"long_name":"State Highway 76"},{"long_name":"Reeds Spring","short_name":"Reeds Spring","types":["locality","political"]},{"long_name":"Ruth C Township","short_name":"Ruth C Township","types":["administrative_area_level_3","political"]},{"types":["administrative_area_level_2","political"],"short_name":"Stone County","long_name":"Stone County"},{"types":["administrative_area_level_1","political"],"long_name":"Missouri","short_name":"MO"},{"types":["country","political"],"short_name":"US","long_name":"United States"},{"long_name":"65737","types":["postal_code"],"short_name":"65737"},{"types":["street_number"],"long_name":"10054","short_name":"10054"},{"types":["route"],"long_name":"State Highway 76","short_name":"State Hwy 76"},{"short_name":"Reeds Spring","types":["locality","political"],"long_name":"Reeds Spring"},{"long_name":"Ruth C Township","short_name":"Ruth C Township","types":["administrative_area_level_3","political"]},{"long_name":"Stone County","types":["administrative_area_level_2","political"],"short_name":"Stone County"},{"short_name":"MO","types":["administrative_area_level_1","political"],"long_name":"Missouri"},{"types":["country","political"],"long_name":"United States","short_name":"US"},{"long_name":"65737","short_name":"65737","types":["postal_code"]},{"types":["latitude"],"long_name":36.6927316,"short_name":36.6927316},{"types":["longitude"],"long_name":-93.3519044,"short_name":-93.3519044}],"distance_from":{"mi":{"flying":{"2116 4th Ave, Seattle, WA, 98121":1652.2487479339356},"driving":{"2116 4th Ave, Seattle, WA, 98121":2047.7636795207975}}}}</v>
      </c>
      <c r="J209" s="8" t="str">
        <f t="shared" si="3"/>
        <v>[{"short_name":"10054","types":["street_number"],"long_name":"10054"},{"short_name":"State Hwy 76","types":["route"],"long_name":"State Highway 76"},{"long_name":"Reeds Spring","short_name":"Reeds Spring","types":["locality","political"]},{"long_name":"Ruth C Township","short_name":"Ruth C Township","types":["administrative_area_level_3","political"]},{"types":["administrative_area_level_2","political"],"short_name":"Stone County","long_name":"Stone County"},{"types":["administrative_area_level_1","political"],"long_name":"Missouri","short_name":"MO"},{"types":["country","political"],"short_name":"US","long_name":"United States"},{"long_name":"65737","types":["postal_code"],"short_name":"65737"},{"types":["street_number"],"long_name":"10054","short_name":"10054"},{"types":["route"],"long_name":"State Highway 76","short_name":"State Hwy 76"},{"short_name":"Reeds Spring","types":["locality","political"],"long_name":"Reeds Spring"},{"long_name":"Ruth C Township","short_name":"Ruth C Township","types":["administrative_area_level_3","political"]},{"long_name":"Stone County","types":["administrative_area_level_2","political"],"short_name":"Stone County"},{"short_name":"MO","types":["administrative_area_level_1","political"],"long_name":"Missouri"},{"types":["country","political"],"long_name":"United States","short_name":"US"},{"long_name":"65737","short_name":"65737","types":["postal_code"]},{"types":["latitude"],"long_name":36.6927316,"short_name":36.6927316},{"types":["longitude"],"long_name":-93.3519044,"short_name":-93.3519044},{"types":["debug_info","cache_load_result"],"long_name":"hit","short_name":"hit"}]</v>
      </c>
      <c r="K209" s="9" t="b">
        <f t="shared" si="287"/>
        <v>1</v>
      </c>
      <c r="L209" s="8" t="b">
        <f t="shared" si="4"/>
        <v>0</v>
      </c>
      <c r="M209" s="10" t="b">
        <v>1</v>
      </c>
      <c r="N209" s="8">
        <f t="shared" si="288"/>
        <v>36.6927316</v>
      </c>
      <c r="O209" s="8">
        <f t="shared" si="289"/>
        <v>-93.3519044</v>
      </c>
      <c r="P209" s="8" t="str">
        <f t="shared" si="290"/>
        <v>Reeds Spring</v>
      </c>
      <c r="Q209" s="8" t="str">
        <f t="shared" si="291"/>
        <v>Missouri</v>
      </c>
      <c r="R209" s="8" t="str">
        <f t="shared" si="292"/>
        <v>65737</v>
      </c>
      <c r="S209" s="8" t="str">
        <f t="shared" si="293"/>
        <v>United States</v>
      </c>
      <c r="T209" s="11">
        <f t="shared" si="294"/>
        <v>2047.76368</v>
      </c>
      <c r="U209" s="12">
        <f t="shared" si="295"/>
        <v>1.257986111</v>
      </c>
      <c r="V209" s="13">
        <f t="shared" si="296"/>
        <v>1652.248748</v>
      </c>
      <c r="X209" s="4" t="str">
        <f t="shared" si="5"/>
        <v>N/A</v>
      </c>
      <c r="Y209" s="4"/>
      <c r="Z209" s="4" t="s">
        <v>38</v>
      </c>
      <c r="AB209" s="14" t="s">
        <v>806</v>
      </c>
    </row>
    <row r="210">
      <c r="A210" s="3" t="s">
        <v>695</v>
      </c>
      <c r="B210" s="4" t="s">
        <v>807</v>
      </c>
      <c r="C210" s="4" t="s">
        <v>808</v>
      </c>
      <c r="D210" s="4" t="s">
        <v>809</v>
      </c>
      <c r="E210" s="5"/>
      <c r="F210" s="4" t="s">
        <v>807</v>
      </c>
      <c r="G210" s="6" t="str">
        <f t="shared" si="1"/>
        <v>Link</v>
      </c>
      <c r="H210" s="5"/>
      <c r="I210" s="7" t="str">
        <f t="shared" si="2"/>
        <v>{"distance_from":{"mi":{"flying":{"2116 4th Ave, Seattle, WA, 98121":2209.3199696770107},"driving":{"2116 4th Ave, Seattle, WA, 98121":2656.7916040115824}}},"address_components":[{"long_name":"101","short_name":"101","types":["street_number"]},{"long_name":"West Main Street","types":["route"],"short_name":"W Main St"},{"short_name":"White Sulphur Springs","long_name":"White Sulphur Springs","types":["locality","political"]},{"long_name":"Greenbrier County","short_name":"Greenbrier County","types":["administrative_area_level_2","political"]},{"types":["administrative_area_level_1","political"],"short_name":"WV","long_name":"West Virginia"},{"short_name":"US","long_name":"United States","types":["country","political"]},{"types":["postal_code"],"short_name":"24986","long_name":"24986"},{"long_name":"650","short_name":"650","types":["street_number"]},{"types":["route"],"short_name":"US-60","long_name":"U.S. 60"},{"long_name":"White Sulphur Springs","types":["locality","political"],"short_name":"White Sulphur Springs"},{"short_name":"Greenbrier County","long_name":"Greenbrier County","types":["administrative_area_level_2","political"]},{"long_name":"West Virginia","short_name":"WV","types":["administrative_area_level_1","political"]},{"short_name":"US","types":["country","political"],"long_name":"United States"},{"long_name":"24986","short_name":"24986","types":["postal_code"]},{"types":["latitude"],"long_name":37.7860374,"short_name":37.7860374},{"types":["longitude"],"long_name":-80.30795979999999,"short_name":-80.30795979999999}],"duration_from":{"days":{"driving":{"2116 4th Ave, Seattle, WA, 98121":1.6219097222222223}}}}</v>
      </c>
      <c r="J210" s="8" t="str">
        <f t="shared" si="3"/>
        <v>[{"long_name":"101","short_name":"101","types":["street_number"]},{"long_name":"West Main Street","types":["route"],"short_name":"W Main St"},{"short_name":"White Sulphur Springs","long_name":"White Sulphur Springs","types":["locality","political"]},{"long_name":"Greenbrier County","short_name":"Greenbrier County","types":["administrative_area_level_2","political"]},{"types":["administrative_area_level_1","political"],"short_name":"WV","long_name":"West Virginia"},{"short_name":"US","long_name":"United States","types":["country","political"]},{"types":["postal_code"],"short_name":"24986","long_name":"24986"},{"long_name":"650","short_name":"650","types":["street_number"]},{"types":["route"],"short_name":"US-60","long_name":"U.S. 60"},{"long_name":"White Sulphur Springs","types":["locality","political"],"short_name":"White Sulphur Springs"},{"short_name":"Greenbrier County","long_name":"Greenbrier County","types":["administrative_area_level_2","political"]},{"long_name":"West Virginia","short_name":"WV","types":["administrative_area_level_1","political"]},{"short_name":"US","types":["country","political"],"long_name":"United States"},{"long_name":"24986","short_name":"24986","types":["postal_code"]},{"types":["latitude"],"long_name":37.7860374,"short_name":37.7860374},{"types":["longitude"],"long_name":-80.30795979999999,"short_name":-80.30795979999999},{"types":["debug_info","cache_load_result"],"long_name":"hit","short_name":"hit"}]</v>
      </c>
      <c r="K210" s="9" t="b">
        <f t="shared" si="287"/>
        <v>1</v>
      </c>
      <c r="L210" s="8" t="b">
        <f t="shared" si="4"/>
        <v>0</v>
      </c>
      <c r="M210" s="10" t="b">
        <v>1</v>
      </c>
      <c r="N210" s="8">
        <f t="shared" si="288"/>
        <v>37.7860374</v>
      </c>
      <c r="O210" s="8">
        <f t="shared" si="289"/>
        <v>-80.3079598</v>
      </c>
      <c r="P210" s="8" t="str">
        <f t="shared" si="290"/>
        <v>White Sulphur Springs</v>
      </c>
      <c r="Q210" s="8" t="str">
        <f t="shared" si="291"/>
        <v>West Virginia</v>
      </c>
      <c r="R210" s="8" t="str">
        <f t="shared" si="292"/>
        <v>24986</v>
      </c>
      <c r="S210" s="8" t="str">
        <f t="shared" si="293"/>
        <v>United States</v>
      </c>
      <c r="T210" s="11">
        <f t="shared" si="294"/>
        <v>2656.791604</v>
      </c>
      <c r="U210" s="12">
        <f t="shared" si="295"/>
        <v>1.621909722</v>
      </c>
      <c r="V210" s="13">
        <f t="shared" si="296"/>
        <v>2209.31997</v>
      </c>
      <c r="X210" s="4" t="str">
        <f t="shared" si="5"/>
        <v>N/A</v>
      </c>
      <c r="Y210" s="4"/>
      <c r="Z210" s="4" t="s">
        <v>38</v>
      </c>
      <c r="AB210" s="14" t="s">
        <v>69</v>
      </c>
    </row>
    <row r="211" hidden="1">
      <c r="A211" s="3" t="s">
        <v>695</v>
      </c>
      <c r="B211" s="4" t="s">
        <v>810</v>
      </c>
      <c r="C211" s="4"/>
      <c r="D211" s="4"/>
      <c r="E211" s="5"/>
      <c r="F211" s="4" t="s">
        <v>811</v>
      </c>
      <c r="G211" s="6" t="str">
        <f t="shared" si="1"/>
        <v>Link</v>
      </c>
      <c r="H211" s="3" t="s">
        <v>323</v>
      </c>
      <c r="I211" s="8" t="str">
        <f t="shared" si="2"/>
        <v>{"address_components":[{"long_name":"304","types":["street_number"],"short_name":"304"},{"short_name":"N Rail St W","long_name":"North Rail Street West","types":["route"]},{"short_name":"Shoshone","long_name":"Shoshone","types":["locality","political"]},{"long_name":"Lincoln County","types":["administrative_area_level_2","political"],"short_name":"Lincoln County"},{"long_name":"Idaho","types":["administrative_area_level_1","political"],"short_name":"ID"},{"short_name":"US","long_name":"United States","types":["country","political"]},{"short_name":"83352","long_name":"83352","types":["postal_code"]},{"long_name":"5433","types":["postal_code_suffix"],"short_name":"5433"},{"short_name":"304","long_name":"304","types":["street_number"]},{"long_name":"North Rail Street West","types":["route"],"short_name":"N Rail St W"},{"long_name":"Shoshone","types":["locality","political"],"short_name":"Shoshone"},{"long_name":"Lincoln County","types":["administrative_area_level_2","political"],"short_name":"Lincoln County"},{"short_name":"ID","long_name":"Idaho","types":["administrative_area_level_1","political"]},{"long_name":"United States","types":["country","political"],"short_name":"US"},{"long_name":"83352","types":["postal_code"],"short_name":"83352"},{"long_name":"5433","types":["postal_code_suffix"],"short_name":"5433"},{"types":["latitude"],"long_name":42.93668599999999,"short_name":42.93668599999999},{"types":["longitude"],"long_name":-114.4090232,"short_name":-114.4090232}]}</v>
      </c>
      <c r="J211" s="8" t="str">
        <f t="shared" si="3"/>
        <v>[{"long_name":"304","types":["street_number"],"short_name":"304"},{"short_name":"N Rail St W","long_name":"North Rail Street West","types":["route"]},{"short_name":"Shoshone","long_name":"Shoshone","types":["locality","political"]},{"long_name":"Lincoln County","types":["administrative_area_level_2","political"],"short_name":"Lincoln County"},{"long_name":"Idaho","types":["administrative_area_level_1","political"],"short_name":"ID"},{"short_name":"US","long_name":"United States","types":["country","political"]},{"short_name":"83352","long_name":"83352","types":["postal_code"]},{"long_name":"5433","types":["postal_code_suffix"],"short_name":"5433"},{"short_name":"304","long_name":"304","types":["street_number"]},{"long_name":"North Rail Street West","types":["route"],"short_name":"N Rail St W"},{"long_name":"Shoshone","types":["locality","political"],"short_name":"Shoshone"},{"long_name":"Lincoln County","types":["administrative_area_level_2","political"],"short_name":"Lincoln County"},{"short_name":"ID","long_name":"Idaho","types":["administrative_area_level_1","political"]},{"long_name":"United States","types":["country","political"],"short_name":"US"},{"long_name":"83352","types":["postal_code"],"short_name":"83352"},{"long_name":"5433","types":["postal_code_suffix"],"short_name":"5433"},{"types":["latitude"],"long_name":42.93668599999999,"short_name":42.93668599999999},{"types":["longitude"],"long_name":-114.4090232,"short_name":-114.4090232},{"types":["debug_info","cache_load_result"],"long_name":"hit","short_name":"hit"}]</v>
      </c>
      <c r="K211" s="9" t="b">
        <f t="shared" ref="K211:K212" si="297">NOT(AND(NOT(_xlfn.ISFORMULA(P211)),AND(NOT(_xlfn.ISFORMULA(Q211)),AND(NOT(_xlfn.ISFORMULA(R211)),AND(NOT(_xlfn.ISFORMULA(S211)),AND(NOT(_xlfn.ISFORMULA(T211)),AND(NOT(_xlfn.ISFORMULA(U211)),AND(NOT(_xlfn.ISFORMULA(V211)),AND(NOT(_xlfn.ISFORMULA(N211)),NOT(_xlfn.ISFORMULA(O211)))))))))))</f>
        <v>0</v>
      </c>
      <c r="L211" s="8" t="b">
        <f t="shared" si="4"/>
        <v>1</v>
      </c>
      <c r="M211" s="10" t="b">
        <v>1</v>
      </c>
      <c r="N211" s="10">
        <v>42.9370115</v>
      </c>
      <c r="O211" s="10">
        <v>-114.4087388</v>
      </c>
      <c r="P211" s="10" t="s">
        <v>812</v>
      </c>
      <c r="Q211" s="10" t="s">
        <v>555</v>
      </c>
      <c r="R211" s="10">
        <v>83352.0</v>
      </c>
      <c r="S211" s="10" t="s">
        <v>47</v>
      </c>
      <c r="T211" s="19">
        <v>608.6</v>
      </c>
      <c r="U211" s="32">
        <v>0.40150462962962963</v>
      </c>
      <c r="V211" s="18">
        <v>502.75</v>
      </c>
      <c r="X211" s="4" t="str">
        <f t="shared" si="5"/>
        <v>N/A</v>
      </c>
      <c r="Z211" s="4" t="s">
        <v>38</v>
      </c>
    </row>
    <row r="212" hidden="1">
      <c r="A212" s="3" t="s">
        <v>695</v>
      </c>
      <c r="B212" s="4" t="s">
        <v>813</v>
      </c>
      <c r="C212" s="4"/>
      <c r="D212" s="4"/>
      <c r="E212" s="5"/>
      <c r="F212" s="4" t="s">
        <v>814</v>
      </c>
      <c r="G212" s="6" t="str">
        <f t="shared" si="1"/>
        <v>Link</v>
      </c>
      <c r="H212" s="3" t="s">
        <v>323</v>
      </c>
      <c r="I212" s="8" t="str">
        <f t="shared" si="2"/>
        <v>{"address_components":[{"long_name":"Moyie Springs","types":["locality","political"],"short_name":"Moyie Springs"},{"short_name":"Boundary County","long_name":"Boundary County","types":["administrative_area_level_2","political"]},{"long_name":"Idaho","short_name":"ID","types":["administrative_area_level_1","political"]},{"types":["country","political"],"long_name":"United States","short_name":"US"},{"types":["postal_code"],"short_name":"83845","long_name":"83845"},{"long_name":"QRGV+4R","types":["plus_code"],"short_name":"QRGV+4R"},{"short_name":"Eileen","long_name":"Eileen","types":["locality","political"]},{"long_name":"Boundary County","short_name":"Boundary County","types":["administrative_area_level_2","political"]},{"long_name":"Idaho","types":["administrative_area_level_1","political"],"short_name":"ID"},{"short_name":"US","types":["country","political"],"long_name":"United States"},{"short_name":"83845","types":["postal_code"],"long_name":"83845"},{"types":["latitude"],"long_name":48.7753309,"short_name":48.7753309},{"types":["longitude"],"long_name":-116.1554298,"short_name":-116.1554298}]}</v>
      </c>
      <c r="J212" s="8" t="str">
        <f t="shared" si="3"/>
        <v>[{"long_name":"Moyie Springs","types":["locality","political"],"short_name":"Moyie Springs"},{"short_name":"Boundary County","long_name":"Boundary County","types":["administrative_area_level_2","political"]},{"long_name":"Idaho","short_name":"ID","types":["administrative_area_level_1","political"]},{"types":["country","political"],"long_name":"United States","short_name":"US"},{"types":["postal_code"],"short_name":"83845","long_name":"83845"},{"long_name":"QRGV+4R","types":["plus_code"],"short_name":"QRGV+4R"},{"short_name":"Eileen","long_name":"Eileen","types":["locality","political"]},{"long_name":"Boundary County","short_name":"Boundary County","types":["administrative_area_level_2","political"]},{"long_name":"Idaho","types":["administrative_area_level_1","political"],"short_name":"ID"},{"short_name":"US","types":["country","political"],"long_name":"United States"},{"short_name":"83845","types":["postal_code"],"long_name":"83845"},{"types":["latitude"],"long_name":48.7753309,"short_name":48.7753309},{"types":["longitude"],"long_name":-116.1554298,"short_name":-116.1554298},{"types":["debug_info","cache_load_result"],"long_name":"hit","short_name":"hit"}]</v>
      </c>
      <c r="K212" s="9" t="b">
        <f t="shared" si="297"/>
        <v>0</v>
      </c>
      <c r="L212" s="8" t="b">
        <f t="shared" si="4"/>
        <v>1</v>
      </c>
      <c r="M212" s="10" t="b">
        <v>1</v>
      </c>
      <c r="N212" s="10">
        <v>48.7753309</v>
      </c>
      <c r="O212" s="10">
        <v>-116.1554298</v>
      </c>
      <c r="P212" s="10" t="s">
        <v>815</v>
      </c>
      <c r="Q212" s="10" t="s">
        <v>555</v>
      </c>
      <c r="R212" s="10">
        <v>83845.0</v>
      </c>
      <c r="S212" s="10" t="s">
        <v>47</v>
      </c>
      <c r="T212" s="19">
        <v>394.7</v>
      </c>
      <c r="U212" s="32">
        <v>0.28032407407407406</v>
      </c>
      <c r="V212" s="18">
        <v>295.91</v>
      </c>
      <c r="X212" s="4" t="str">
        <f t="shared" si="5"/>
        <v>N/A</v>
      </c>
      <c r="Z212" s="4" t="s">
        <v>38</v>
      </c>
    </row>
    <row r="213" hidden="1">
      <c r="A213" s="3" t="s">
        <v>695</v>
      </c>
      <c r="B213" s="4" t="s">
        <v>816</v>
      </c>
      <c r="C213" s="4" t="s">
        <v>817</v>
      </c>
      <c r="D213" s="4"/>
      <c r="E213" s="5"/>
      <c r="F213" s="4" t="s">
        <v>818</v>
      </c>
      <c r="G213" s="6" t="str">
        <f t="shared" si="1"/>
        <v>Link</v>
      </c>
      <c r="H213" s="3" t="s">
        <v>323</v>
      </c>
      <c r="I213" s="8" t="str">
        <f t="shared" si="2"/>
        <v>{"duration_from":{"days":{"driving":{"2116 4th Ave, Seattle, WA, 98121":1.684398148148148}}},"address_components":[{"types":["establishment","natural_feature"],"short_name":"Curtis Creek","long_name":"Curtis Creek"},{"long_name":"Maryland","short_name":"MD","types":["administrative_area_level_1","political"]},{"short_name":"US","types":["country","political"],"long_name":"United States"},{"long_name":"5CX7+7C","short_name":"5CX7+7C","types":["plus_code"]},{"short_name":"Glen Burnie","types":["locality","political"],"long_name":"Glen Burnie"},{"short_name":"Anne Arundel County","types":["administrative_area_level_2","political"],"long_name":"Anne Arundel County"},{"short_name":"MD","long_name":"Maryland","types":["administrative_area_level_1","political"]},{"long_name":"United States","short_name":"US","types":["country","political"]},{"types":["latitude"],"long_name":39.19821228801183,"short_name":39.19821228801183},{"types":["longitude"],"long_name":-76.58638558945248,"short_name":-76.58638558945248}],"distance_from":{"mi":{"flying":{"2116 4th Ave, Seattle, WA, 98121":2332.993028197895},"driving":{"2116 4th Ave, Seattle, WA, 98121":2747.209415039706}}}}</v>
      </c>
      <c r="J213" s="8" t="str">
        <f t="shared" si="3"/>
        <v>[{"types":["establishment","natural_feature"],"short_name":"Curtis Creek","long_name":"Curtis Creek"},{"long_name":"Maryland","short_name":"MD","types":["administrative_area_level_1","political"]},{"short_name":"US","types":["country","political"],"long_name":"United States"},{"long_name":"5CX7+7C","short_name":"5CX7+7C","types":["plus_code"]},{"short_name":"Glen Burnie","types":["locality","political"],"long_name":"Glen Burnie"},{"short_name":"Anne Arundel County","types":["administrative_area_level_2","political"],"long_name":"Anne Arundel County"},{"short_name":"MD","long_name":"Maryland","types":["administrative_area_level_1","political"]},{"long_name":"United States","short_name":"US","types":["country","political"]},{"types":["latitude"],"long_name":39.19821228801183,"short_name":39.19821228801183},{"types":["longitude"],"long_name":-76.58638558945248,"short_name":-76.58638558945248},{"types":["debug_info","cache_load_result"],"long_name":"hit","short_name":"hit"}]</v>
      </c>
      <c r="K213" s="9" t="b">
        <f t="shared" ref="K213:K215" si="298">NOT(AND(NOT(_xlfn.ISFORMULA(P213)),AND(NOT(_xlfn.ISFORMULA(Q213)),AND(NOT(_xlfn.ISFORMULA(R213)),AND(NOT(_xlfn.ISFORMULA(S213)),AND(NOT(_xlfn.ISFORMULA(T213)),AND(NOT(_xlfn.ISFORMULA(U213)),AND(NOT(_xlfn.ISFORMULA(V213))))))))))</f>
        <v>1</v>
      </c>
      <c r="L213" s="8" t="b">
        <f t="shared" si="4"/>
        <v>0</v>
      </c>
      <c r="M213" s="10" t="b">
        <v>1</v>
      </c>
      <c r="N213" s="8">
        <f t="shared" ref="N213:N215" si="299">GOOGLEMAPS_GET_ADDRESS_LATITUDE(F213,true)</f>
        <v>39.19821229</v>
      </c>
      <c r="O213" s="8">
        <f t="shared" ref="O213:O215" si="300">GOOGLEMAPS_GET_ADDRESS_LONGITUDE(F213,true)</f>
        <v>-76.58638559</v>
      </c>
      <c r="P213" s="8" t="str">
        <f t="shared" ref="P213:P215" si="301">GOOGLEMAPS_GET_ADDRESS_CITY(F213,true,false)</f>
        <v>Glen Burnie</v>
      </c>
      <c r="Q213" s="8" t="str">
        <f t="shared" ref="Q213:Q215" si="302">GOOGLEMAPS_GET_ADDRESS_STATE(F213,true,false)</f>
        <v>Maryland</v>
      </c>
      <c r="R213" s="8" t="str">
        <f t="shared" ref="R213:R215" si="303">GOOGLEMAPS_GET_ADDRESS_POSTAL_CODE(F213,false,false)</f>
        <v>UNDEFINED</v>
      </c>
      <c r="S213" s="8" t="str">
        <f t="shared" ref="S213:S215" si="304">GOOGLEMAPS_GET_ADDRESS_COUNTRY(F213,true,false)</f>
        <v>United States</v>
      </c>
      <c r="T213" s="11">
        <f t="shared" ref="T213:T215" si="305">IFERROR(GOOGLEMAPS_DISTANCE("2116 4th Ave, Seattle, WA, 98121", F213, "driving")+0,"Not Driveable")</f>
        <v>2747.209415</v>
      </c>
      <c r="U213" s="12">
        <f t="shared" ref="U213:U215" si="306">iferror(GOOGLEMAPS_DURATION("2116 4th Ave, Seattle, WA, 98121", F213, "driving")+0,"Not Driveable")</f>
        <v>1.684398148</v>
      </c>
      <c r="V213" s="13">
        <f t="shared" ref="V213:V215" si="307">GOOGLEMAPS_DISTANCE("2116 4th Ave, Seattle, WA, 98121", F213, "flying")+0</f>
        <v>2332.993028</v>
      </c>
      <c r="W213" s="4"/>
      <c r="X213" s="4" t="str">
        <f t="shared" si="5"/>
        <v>N/A</v>
      </c>
      <c r="Y213" s="4"/>
      <c r="Z213" s="4" t="s">
        <v>38</v>
      </c>
      <c r="AB213" s="14" t="s">
        <v>819</v>
      </c>
      <c r="AF213" s="4" t="s">
        <v>820</v>
      </c>
    </row>
    <row r="214">
      <c r="A214" s="3" t="s">
        <v>695</v>
      </c>
      <c r="B214" s="4" t="s">
        <v>821</v>
      </c>
      <c r="C214" s="4" t="s">
        <v>822</v>
      </c>
      <c r="D214" s="4" t="s">
        <v>823</v>
      </c>
      <c r="E214" s="3" t="s">
        <v>68</v>
      </c>
      <c r="F214" s="4" t="s">
        <v>821</v>
      </c>
      <c r="G214" s="6" t="str">
        <f t="shared" si="1"/>
        <v>Link</v>
      </c>
      <c r="H214" s="5"/>
      <c r="I214" s="8" t="str">
        <f t="shared" si="2"/>
        <v>{"address_components":[{"short_name":"PA","types":["administrative_area_level_1","political"],"long_name":"Pennsylvania"},{"long_name":"United States","short_name":"US","types":["country","political"]},{"long_name":"313","types":["street_number"],"short_name":"313"},{"long_name":"Shorecrest Lane","types":["route"],"short_name":"Shorecrest Ln"},{"long_name":"Linden","short_name":"Linden","types":["locality","political"]},{"long_name":"Piatt Township","types":["administrative_area_level_3","political"],"short_name":"Piatt Township"},{"short_name":"Lycoming County","types":["administrative_area_level_2","political"],"long_name":"Lycoming County"},{"long_name":"Pennsylvania","short_name":"PA","types":["administrative_area_level_1","political"]},{"long_name":"United States","types":["country","political"],"short_name":"US"},{"short_name":"17744","long_name":"17744","types":["postal_code"]},{"long_name":"7962","types":["postal_code_suffix"],"short_name":"7962"},{"types":["latitude"],"long_name":41.2033216,"short_name":41.2033216},{"types":["longitude"],"long_name":-77.1945247,"short_name":-77.1945247}],"distance_from":{"mi":{"flying":{"2116 4th Ave, Seattle, WA, 98121":2239.047684143811},"driving":{"2116 4th Ave, Seattle, WA, 98121":2650.97928343296}}},"duration_from":{"days":{"driving":{"2116 4th Ave, Seattle, WA, 98121":1.6160416666666666}}}}</v>
      </c>
      <c r="J214" s="8" t="str">
        <f t="shared" si="3"/>
        <v>[{"short_name":"PA","types":["administrative_area_level_1","political"],"long_name":"Pennsylvania"},{"long_name":"United States","short_name":"US","types":["country","political"]},{"long_name":"313","types":["street_number"],"short_name":"313"},{"long_name":"Shorecrest Lane","types":["route"],"short_name":"Shorecrest Ln"},{"long_name":"Linden","short_name":"Linden","types":["locality","political"]},{"long_name":"Piatt Township","types":["administrative_area_level_3","political"],"short_name":"Piatt Township"},{"short_name":"Lycoming County","types":["administrative_area_level_2","political"],"long_name":"Lycoming County"},{"long_name":"Pennsylvania","short_name":"PA","types":["administrative_area_level_1","political"]},{"long_name":"United States","types":["country","political"],"short_name":"US"},{"short_name":"17744","long_name":"17744","types":["postal_code"]},{"long_name":"7962","types":["postal_code_suffix"],"short_name":"7962"},{"types":["latitude"],"long_name":41.2033216,"short_name":41.2033216},{"types":["longitude"],"long_name":-77.1945247,"short_name":-77.1945247},{"types":["debug_info","cache_load_result"],"long_name":"hit","short_name":"hit"}]</v>
      </c>
      <c r="K214" s="9" t="b">
        <f t="shared" si="298"/>
        <v>1</v>
      </c>
      <c r="L214" s="8" t="b">
        <f t="shared" si="4"/>
        <v>0</v>
      </c>
      <c r="M214" s="10" t="b">
        <v>1</v>
      </c>
      <c r="N214" s="8">
        <f t="shared" si="299"/>
        <v>41.2033216</v>
      </c>
      <c r="O214" s="8">
        <f t="shared" si="300"/>
        <v>-77.1945247</v>
      </c>
      <c r="P214" s="8" t="str">
        <f t="shared" si="301"/>
        <v>Linden</v>
      </c>
      <c r="Q214" s="8" t="str">
        <f t="shared" si="302"/>
        <v>Pennsylvania</v>
      </c>
      <c r="R214" s="8" t="str">
        <f t="shared" si="303"/>
        <v>17744</v>
      </c>
      <c r="S214" s="8" t="str">
        <f t="shared" si="304"/>
        <v>United States</v>
      </c>
      <c r="T214" s="11">
        <f t="shared" si="305"/>
        <v>2650.979283</v>
      </c>
      <c r="U214" s="12">
        <f t="shared" si="306"/>
        <v>1.616041667</v>
      </c>
      <c r="V214" s="13">
        <f t="shared" si="307"/>
        <v>2239.047684</v>
      </c>
      <c r="X214" s="4" t="str">
        <f t="shared" si="5"/>
        <v>N/A</v>
      </c>
      <c r="Y214" s="4"/>
      <c r="Z214" s="4" t="s">
        <v>38</v>
      </c>
      <c r="AB214" s="14" t="s">
        <v>69</v>
      </c>
    </row>
    <row r="215">
      <c r="A215" s="3" t="s">
        <v>695</v>
      </c>
      <c r="B215" s="4" t="s">
        <v>824</v>
      </c>
      <c r="C215" s="4"/>
      <c r="D215" s="4"/>
      <c r="E215" s="5"/>
      <c r="F215" s="4" t="s">
        <v>825</v>
      </c>
      <c r="G215" s="6" t="str">
        <f t="shared" si="1"/>
        <v>Link</v>
      </c>
      <c r="H215" s="3" t="s">
        <v>136</v>
      </c>
      <c r="I215" s="8" t="str">
        <f t="shared" si="2"/>
        <v>{"address_components":[{"short_name":"Marianna","long_name":"Marianna","types":["locality","political"]},{"short_name":"Jackson County","types":["administrative_area_level_2","political"],"long_name":"Jackson County"},{"long_name":"Florida","short_name":"FL","types":["administrative_area_level_1","political"]},{"short_name":"US","types":["country","political"],"long_name":"United States"},{"long_name":"2871","types":["street_number"],"short_name":"2871"},{"short_name":"FL-166","long_name":"Florida 166","types":["route"]},{"types":["locality","political"],"long_name":"Marianna","short_name":"Marianna"},{"long_name":"Jackson County","types":["administrative_area_level_2","political"],"short_name":"Jackson County"},{"long_name":"Florida","short_name":"FL","types":["administrative_area_level_1","political"]},{"short_name":"US","long_name":"United States","types":["country","political"]},{"long_name":"32446","short_name":"32446","types":["postal_code"]},{"types":["latitude"],"long_name":30.7743596,"short_name":30.7743596},{"types":["longitude"],"long_name":-85.2268735,"short_name":-85.2268735}],"duration_from":{"days":{"driving":{"2116 4th Ave, Seattle, WA, 98121":1.7149537037037037}}},"distance_from":{"mi":{"driving":{"2116 4th Ave, Seattle, WA, 98121":2754.411125057477},"flying":{"2116 4th Ave, Seattle, WA, 98121":2271.9468850584713}}}}</v>
      </c>
      <c r="J215" s="8" t="str">
        <f t="shared" si="3"/>
        <v>[{"short_name":"Marianna","long_name":"Marianna","types":["locality","political"]},{"short_name":"Jackson County","types":["administrative_area_level_2","political"],"long_name":"Jackson County"},{"long_name":"Florida","short_name":"FL","types":["administrative_area_level_1","political"]},{"short_name":"US","types":["country","political"],"long_name":"United States"},{"long_name":"2871","types":["street_number"],"short_name":"2871"},{"short_name":"FL-166","long_name":"Florida 166","types":["route"]},{"types":["locality","political"],"long_name":"Marianna","short_name":"Marianna"},{"long_name":"Jackson County","types":["administrative_area_level_2","political"],"short_name":"Jackson County"},{"long_name":"Florida","short_name":"FL","types":["administrative_area_level_1","political"]},{"short_name":"US","long_name":"United States","types":["country","political"]},{"long_name":"32446","short_name":"32446","types":["postal_code"]},{"types":["latitude"],"long_name":30.7743596,"short_name":30.7743596},{"types":["longitude"],"long_name":-85.2268735,"short_name":-85.2268735},{"types":["debug_info","cache_load_result"],"long_name":"hit","short_name":"hit"}]</v>
      </c>
      <c r="K215" s="9" t="b">
        <f t="shared" si="298"/>
        <v>1</v>
      </c>
      <c r="L215" s="8" t="b">
        <f t="shared" si="4"/>
        <v>0</v>
      </c>
      <c r="M215" s="10" t="b">
        <v>1</v>
      </c>
      <c r="N215" s="8">
        <f t="shared" si="299"/>
        <v>30.7743596</v>
      </c>
      <c r="O215" s="8">
        <f t="shared" si="300"/>
        <v>-85.2268735</v>
      </c>
      <c r="P215" s="8" t="str">
        <f t="shared" si="301"/>
        <v>Marianna</v>
      </c>
      <c r="Q215" s="8" t="str">
        <f t="shared" si="302"/>
        <v>Florida</v>
      </c>
      <c r="R215" s="8" t="str">
        <f t="shared" si="303"/>
        <v>32446</v>
      </c>
      <c r="S215" s="8" t="str">
        <f t="shared" si="304"/>
        <v>United States</v>
      </c>
      <c r="T215" s="11">
        <f t="shared" si="305"/>
        <v>2754.411125</v>
      </c>
      <c r="U215" s="12">
        <f t="shared" si="306"/>
        <v>1.714953704</v>
      </c>
      <c r="V215" s="13">
        <f t="shared" si="307"/>
        <v>2271.946885</v>
      </c>
      <c r="W215" s="4"/>
      <c r="X215" s="4" t="str">
        <f t="shared" si="5"/>
        <v>N/A</v>
      </c>
      <c r="Y215" s="4"/>
      <c r="Z215" s="4" t="s">
        <v>38</v>
      </c>
      <c r="AB215" s="14" t="s">
        <v>826</v>
      </c>
      <c r="AF215" s="4" t="s">
        <v>827</v>
      </c>
    </row>
    <row r="216" hidden="1">
      <c r="A216" s="3" t="s">
        <v>695</v>
      </c>
      <c r="B216" s="4" t="s">
        <v>828</v>
      </c>
      <c r="C216" s="4"/>
      <c r="D216" s="4"/>
      <c r="E216" s="5"/>
      <c r="F216" s="4" t="s">
        <v>829</v>
      </c>
      <c r="G216" s="6" t="str">
        <f t="shared" si="1"/>
        <v>Link</v>
      </c>
      <c r="H216" s="3" t="s">
        <v>45</v>
      </c>
      <c r="I216" s="8" t="str">
        <f t="shared" si="2"/>
        <v>{"address_components":[{"long_name":"Chesaw","short_name":"Chesaw","types":["locality","political"]},{"long_name":"Okanogan County","types":["administrative_area_level_2","political"],"short_name":"Okanogan County"},{"long_name":"Washington","short_name":"WA","types":["administrative_area_level_1","political"]},{"long_name":"United States","short_name":"US","types":["country","political"]},{"short_name":"98844","long_name":"98844","types":["postal_code"]},{"types":["street_number"],"short_name":"2055","long_name":"2055"},{"types":["route"],"short_name":"Chesaw Rd","long_name":"Chesaw Road"},{"long_name":"Oroville","short_name":"Oroville","types":["locality","political"]},{"types":["administrative_area_level_2","political"],"short_name":"Okanogan County","long_name":"Okanogan County"},{"long_name":"Washington","short_name":"WA","types":["administrative_area_level_1","political"]},{"short_name":"US","types":["country","political"],"long_name":"United States"},{"long_name":"98844","short_name":"98844","types":["postal_code"]},{"long_name":"9662","short_name":"9662","types":["postal_code_suffix"]},{"types":["latitude"],"long_name":48.9460104,"short_name":48.9460104},{"types":["longitude"],"long_name":-119.0514316,"short_name":-119.0514316}]}</v>
      </c>
      <c r="J216" s="8" t="str">
        <f t="shared" si="3"/>
        <v>[{"long_name":"Chesaw","short_name":"Chesaw","types":["locality","political"]},{"long_name":"Okanogan County","types":["administrative_area_level_2","political"],"short_name":"Okanogan County"},{"long_name":"Washington","short_name":"WA","types":["administrative_area_level_1","political"]},{"long_name":"United States","short_name":"US","types":["country","political"]},{"short_name":"98844","long_name":"98844","types":["postal_code"]},{"types":["street_number"],"short_name":"2055","long_name":"2055"},{"types":["route"],"short_name":"Chesaw Rd","long_name":"Chesaw Road"},{"long_name":"Oroville","short_name":"Oroville","types":["locality","political"]},{"types":["administrative_area_level_2","political"],"short_name":"Okanogan County","long_name":"Okanogan County"},{"long_name":"Washington","short_name":"WA","types":["administrative_area_level_1","political"]},{"short_name":"US","types":["country","political"],"long_name":"United States"},{"long_name":"98844","short_name":"98844","types":["postal_code"]},{"long_name":"9662","short_name":"9662","types":["postal_code_suffix"]},{"types":["latitude"],"long_name":48.9460104,"short_name":48.9460104},{"types":["longitude"],"long_name":-119.0514316,"short_name":-119.0514316},{"types":["debug_info","cache_load_result"],"long_name":"hit","short_name":"hit"}]</v>
      </c>
      <c r="K216" s="9" t="b">
        <f>NOT(AND(NOT(_xlfn.ISFORMULA(P216)),AND(NOT(_xlfn.ISFORMULA(Q216)),AND(NOT(_xlfn.ISFORMULA(R216)),AND(NOT(_xlfn.ISFORMULA(S216)),AND(NOT(_xlfn.ISFORMULA(T216)),AND(NOT(_xlfn.ISFORMULA(U216)),AND(NOT(_xlfn.ISFORMULA(V216)),AND(NOT(_xlfn.ISFORMULA(N216)),NOT(_xlfn.ISFORMULA(O216)))))))))))</f>
        <v>0</v>
      </c>
      <c r="L216" s="8" t="b">
        <f t="shared" si="4"/>
        <v>1</v>
      </c>
      <c r="M216" s="10" t="b">
        <v>1</v>
      </c>
      <c r="N216" s="10">
        <v>48.9460104</v>
      </c>
      <c r="O216" s="10">
        <v>-119.0514316</v>
      </c>
      <c r="P216" s="10" t="s">
        <v>830</v>
      </c>
      <c r="Q216" s="10" t="s">
        <v>193</v>
      </c>
      <c r="R216" s="10">
        <v>98844.0</v>
      </c>
      <c r="S216" s="10" t="s">
        <v>47</v>
      </c>
      <c r="T216" s="19">
        <v>287.1</v>
      </c>
      <c r="U216" s="32">
        <v>0.21717592592592594</v>
      </c>
      <c r="V216" s="18">
        <v>177.05</v>
      </c>
      <c r="W216" s="4"/>
      <c r="X216" s="4" t="str">
        <f t="shared" si="5"/>
        <v>N/A</v>
      </c>
      <c r="Y216" s="4"/>
      <c r="Z216" s="4" t="s">
        <v>38</v>
      </c>
      <c r="AB216" s="14" t="s">
        <v>831</v>
      </c>
    </row>
    <row r="217">
      <c r="A217" s="3" t="s">
        <v>695</v>
      </c>
      <c r="B217" s="4" t="s">
        <v>832</v>
      </c>
      <c r="C217" s="4"/>
      <c r="D217" s="4"/>
      <c r="E217" s="5"/>
      <c r="F217" s="4" t="s">
        <v>833</v>
      </c>
      <c r="G217" s="6" t="str">
        <f t="shared" si="1"/>
        <v>Link</v>
      </c>
      <c r="H217" s="3" t="s">
        <v>136</v>
      </c>
      <c r="I217" s="8" t="str">
        <f t="shared" si="2"/>
        <v>{"distance_from":{"mi":{"driving":{"2116 4th Ave, Seattle, WA, 98121":2799.6837212770456},"flying":{"2116 4th Ave, Seattle, WA, 98121":2372.7093094063407}}},"address_components":[{"long_name":"2027","types":["street_number"],"short_name":"2027"},{"long_name":"Fairmount Avenue","types":["route"],"short_name":"Fairmount Ave"},{"long_name":"North Philadelphia","short_name":"North Philadelphia","types":["neighborhood","political"]},{"short_name":"Philadelphia","long_name":"Philadelphia","types":["locality","political"]},{"long_name":"Philadelphia County","types":["administrative_area_level_2","political"],"short_name":"Philadelphia County"},{"short_name":"PA","long_name":"Pennsylvania","types":["administrative_area_level_1","political"]},{"types":["country","political"],"short_name":"US","long_name":"United States"},{"types":["postal_code"],"long_name":"19130","short_name":"19130"},{"short_name":"2027","long_name":"2027","types":["street_number"]},{"short_name":"Fairmount Ave","long_name":"Fairmount Avenue","types":["route"]},{"types":["neighborhood","political"],"long_name":"North Philadelphia","short_name":"North Philadelphia"},{"long_name":"Philadelphia","types":["locality","political"],"short_name":"Philadelphia"},{"types":["administrative_area_level_2","political"],"long_name":"Philadelphia County","short_name":"Philadelphia County"},{"long_name":"Pennsylvania","types":["administrative_area_level_1","political"],"short_name":"PA"},{"types":["country","political"],"short_name":"US","long_name":"United States"},{"types":["postal_code"],"short_name":"19130","long_name":"19130"},{"types":["latitude"],"long_name":39.9683364,"short_name":39.9683364},{"types":["longitude"],"long_name":-75.17266479999999,"short_name":-75.17266479999999}],"duration_from":{"days":{"driving":{"2116 4th Ave, Seattle, WA, 98121":1.7115625}}}}</v>
      </c>
      <c r="J217" s="8" t="str">
        <f t="shared" si="3"/>
        <v>[{"long_name":"2027","types":["street_number"],"short_name":"2027"},{"long_name":"Fairmount Avenue","types":["route"],"short_name":"Fairmount Ave"},{"long_name":"North Philadelphia","short_name":"North Philadelphia","types":["neighborhood","political"]},{"short_name":"Philadelphia","long_name":"Philadelphia","types":["locality","political"]},{"long_name":"Philadelphia County","types":["administrative_area_level_2","political"],"short_name":"Philadelphia County"},{"short_name":"PA","long_name":"Pennsylvania","types":["administrative_area_level_1","political"]},{"types":["country","political"],"short_name":"US","long_name":"United States"},{"types":["postal_code"],"long_name":"19130","short_name":"19130"},{"short_name":"2027","long_name":"2027","types":["street_number"]},{"short_name":"Fairmount Ave","long_name":"Fairmount Avenue","types":["route"]},{"types":["neighborhood","political"],"long_name":"North Philadelphia","short_name":"North Philadelphia"},{"long_name":"Philadelphia","types":["locality","political"],"short_name":"Philadelphia"},{"types":["administrative_area_level_2","political"],"long_name":"Philadelphia County","short_name":"Philadelphia County"},{"long_name":"Pennsylvania","types":["administrative_area_level_1","political"],"short_name":"PA"},{"types":["country","political"],"short_name":"US","long_name":"United States"},{"types":["postal_code"],"short_name":"19130","long_name":"19130"},{"types":["latitude"],"long_name":39.9683364,"short_name":39.9683364},{"types":["longitude"],"long_name":-75.17266479999999,"short_name":-75.17266479999999},{"types":["debug_info","cache_load_result"],"long_name":"hit","short_name":"hit"}]</v>
      </c>
      <c r="K217" s="9" t="b">
        <f t="shared" ref="K217:K218" si="308">NOT(AND(NOT(_xlfn.ISFORMULA(P217)),AND(NOT(_xlfn.ISFORMULA(Q217)),AND(NOT(_xlfn.ISFORMULA(R217)),AND(NOT(_xlfn.ISFORMULA(S217)),AND(NOT(_xlfn.ISFORMULA(T217)),AND(NOT(_xlfn.ISFORMULA(U217)),AND(NOT(_xlfn.ISFORMULA(V217))))))))))</f>
        <v>1</v>
      </c>
      <c r="L217" s="8" t="b">
        <f t="shared" si="4"/>
        <v>0</v>
      </c>
      <c r="M217" s="10" t="b">
        <v>1</v>
      </c>
      <c r="N217" s="8">
        <f t="shared" ref="N217:N218" si="309">GOOGLEMAPS_GET_ADDRESS_LATITUDE(F217,true)</f>
        <v>39.9683364</v>
      </c>
      <c r="O217" s="8">
        <f t="shared" ref="O217:O218" si="310">GOOGLEMAPS_GET_ADDRESS_LONGITUDE(F217,true)</f>
        <v>-75.1726648</v>
      </c>
      <c r="P217" s="8" t="str">
        <f t="shared" ref="P217:P218" si="311">GOOGLEMAPS_GET_ADDRESS_CITY(F217,true,false)</f>
        <v>Philadelphia</v>
      </c>
      <c r="Q217" s="8" t="str">
        <f t="shared" ref="Q217:Q218" si="312">GOOGLEMAPS_GET_ADDRESS_STATE(F217,true,false)</f>
        <v>Pennsylvania</v>
      </c>
      <c r="R217" s="8" t="str">
        <f t="shared" ref="R217:R218" si="313">GOOGLEMAPS_GET_ADDRESS_POSTAL_CODE(F217,false,false)</f>
        <v>19130</v>
      </c>
      <c r="S217" s="8" t="str">
        <f t="shared" ref="S217:S218" si="314">GOOGLEMAPS_GET_ADDRESS_COUNTRY(F217,true,false)</f>
        <v>United States</v>
      </c>
      <c r="T217" s="11">
        <f t="shared" ref="T217:T218" si="315">IFERROR(GOOGLEMAPS_DISTANCE("2116 4th Ave, Seattle, WA, 98121", F217, "driving")+0,"Not Driveable")</f>
        <v>2799.683721</v>
      </c>
      <c r="U217" s="12">
        <f t="shared" ref="U217:U218" si="316">iferror(GOOGLEMAPS_DURATION("2116 4th Ave, Seattle, WA, 98121", F217, "driving")+0,"Not Driveable")</f>
        <v>1.7115625</v>
      </c>
      <c r="V217" s="13">
        <f t="shared" ref="V217:V218" si="317">GOOGLEMAPS_DISTANCE("2116 4th Ave, Seattle, WA, 98121", F217, "flying")+0</f>
        <v>2372.709309</v>
      </c>
      <c r="W217" s="4"/>
      <c r="X217" s="4" t="str">
        <f t="shared" si="5"/>
        <v>N/A</v>
      </c>
      <c r="Y217" s="4"/>
      <c r="Z217" s="4" t="s">
        <v>38</v>
      </c>
      <c r="AB217" s="14" t="s">
        <v>834</v>
      </c>
      <c r="AF217" s="4" t="s">
        <v>835</v>
      </c>
    </row>
    <row r="218">
      <c r="A218" s="3" t="s">
        <v>695</v>
      </c>
      <c r="B218" s="4" t="s">
        <v>836</v>
      </c>
      <c r="E218" s="5"/>
      <c r="F218" s="4" t="s">
        <v>836</v>
      </c>
      <c r="G218" s="6" t="str">
        <f t="shared" si="1"/>
        <v>Link</v>
      </c>
      <c r="H218" s="3" t="s">
        <v>120</v>
      </c>
      <c r="I218" s="7" t="str">
        <f t="shared" si="2"/>
        <v>{"duration_from":{"days":{"driving":{"2116 4th Ave, Seattle, WA, 98121":1.9190046296296297}}},"address_components":[{"long_name":"Florida","short_name":"FL","types":["administrative_area_level_1","political"]},{"types":["country","political"],"short_name":"US","long_name":"United States"},{"long_name":"MF7M+WM","short_name":"MF7M+WM","types":["plus_code"]},{"long_name":"Frostproof","types":["locality","political"],"short_name":"Frostproof"},{"types":["administrative_area_level_2","political"],"long_name":"Polk County","short_name":"Polk County"},{"types":["administrative_area_level_1","political"],"long_name":"Florida","short_name":"FL"},{"long_name":"United States","short_name":"US","types":["country","political"]},{"types":["latitude"],"long_name":27.6648274,"short_name":27.6648274},{"types":["longitude"],"long_name":-81.5157535,"short_name":-81.5157535}],"distance_from":{"mi":{"flying":{"2116 4th Ave, Seattle, WA, 98121":2582.0410851653473},"driving":{"2116 4th Ave, Seattle, WA, 98121":3132.8780742416147}}}}</v>
      </c>
      <c r="J218" s="8" t="str">
        <f t="shared" si="3"/>
        <v>[{"long_name":"Florida","short_name":"FL","types":["administrative_area_level_1","political"]},{"types":["country","political"],"short_name":"US","long_name":"United States"},{"long_name":"MF7M+WM","short_name":"MF7M+WM","types":["plus_code"]},{"long_name":"Frostproof","types":["locality","political"],"short_name":"Frostproof"},{"types":["administrative_area_level_2","political"],"long_name":"Polk County","short_name":"Polk County"},{"types":["administrative_area_level_1","political"],"long_name":"Florida","short_name":"FL"},{"long_name":"United States","short_name":"US","types":["country","political"]},{"types":["latitude"],"long_name":27.6648274,"short_name":27.6648274},{"types":["longitude"],"long_name":-81.5157535,"short_name":-81.5157535},{"types":["debug_info","cache_load_result"],"long_name":"hit","short_name":"hit"}]</v>
      </c>
      <c r="K218" s="9" t="b">
        <f t="shared" si="308"/>
        <v>1</v>
      </c>
      <c r="L218" s="8" t="b">
        <f t="shared" si="4"/>
        <v>0</v>
      </c>
      <c r="M218" s="10" t="b">
        <v>1</v>
      </c>
      <c r="N218" s="8">
        <f t="shared" si="309"/>
        <v>27.6648274</v>
      </c>
      <c r="O218" s="8">
        <f t="shared" si="310"/>
        <v>-81.5157535</v>
      </c>
      <c r="P218" s="8" t="str">
        <f t="shared" si="311"/>
        <v>Frostproof</v>
      </c>
      <c r="Q218" s="8" t="str">
        <f t="shared" si="312"/>
        <v>Florida</v>
      </c>
      <c r="R218" s="8" t="str">
        <f t="shared" si="313"/>
        <v>UNDEFINED</v>
      </c>
      <c r="S218" s="8" t="str">
        <f t="shared" si="314"/>
        <v>United States</v>
      </c>
      <c r="T218" s="11">
        <f t="shared" si="315"/>
        <v>3132.878074</v>
      </c>
      <c r="U218" s="12">
        <f t="shared" si="316"/>
        <v>1.91900463</v>
      </c>
      <c r="V218" s="13">
        <f t="shared" si="317"/>
        <v>2582.041085</v>
      </c>
      <c r="X218" s="4" t="str">
        <f t="shared" si="5"/>
        <v>N/A</v>
      </c>
      <c r="Z218" s="4" t="s">
        <v>38</v>
      </c>
    </row>
    <row r="219" hidden="1">
      <c r="A219" s="3" t="s">
        <v>695</v>
      </c>
      <c r="B219" s="4" t="s">
        <v>837</v>
      </c>
      <c r="D219" s="4" t="s">
        <v>838</v>
      </c>
      <c r="E219" s="5"/>
      <c r="F219" s="4" t="s">
        <v>837</v>
      </c>
      <c r="G219" s="6" t="str">
        <f t="shared" si="1"/>
        <v>Link</v>
      </c>
      <c r="H219" s="3" t="s">
        <v>45</v>
      </c>
      <c r="I219" s="7" t="str">
        <f t="shared" si="2"/>
        <v>{"address_components":[{"long_name":"Ashcroft","types":["locality","political"],"short_name":"Ashcroft"},{"long_name":"Pitkin County","types":["administrative_area_level_2","political"],"short_name":"Pitkin County"},{"long_name":"Colorado","types":["administrative_area_level_1","political"],"short_name":"CO"},{"long_name":"United States","types":["country","political"],"short_name":"US"},{"types":["postal_code"],"short_name":"81611","long_name":"81611"},{"long_name":"353X+8W","types":["plus_code"],"short_name":"353X+8W"},{"long_name":"Aspen","short_name":"Aspen","types":["locality","political"]},{"types":["administrative_area_level_2","political"],"long_name":"Pitkin County","short_name":"Pitkin County"},{"long_name":"Colorado","short_name":"CO","types":["administrative_area_level_1","political"]},{"types":["country","political"],"long_name":"United States","short_name":"US"},{"long_name":"81611","short_name":"81611","types":["postal_code"]},{"types":["latitude"],"long_name":39.0536012,"short_name":39.0536012},{"types":["longitude"],"long_name":-106.7997604,"short_name":-106.7997604}]}</v>
      </c>
      <c r="J219" s="8" t="str">
        <f t="shared" si="3"/>
        <v>[{"long_name":"Ashcroft","types":["locality","political"],"short_name":"Ashcroft"},{"long_name":"Pitkin County","types":["administrative_area_level_2","political"],"short_name":"Pitkin County"},{"long_name":"Colorado","types":["administrative_area_level_1","political"],"short_name":"CO"},{"long_name":"United States","types":["country","political"],"short_name":"US"},{"types":["postal_code"],"short_name":"81611","long_name":"81611"},{"long_name":"353X+8W","types":["plus_code"],"short_name":"353X+8W"},{"long_name":"Aspen","short_name":"Aspen","types":["locality","political"]},{"types":["administrative_area_level_2","political"],"long_name":"Pitkin County","short_name":"Pitkin County"},{"long_name":"Colorado","short_name":"CO","types":["administrative_area_level_1","political"]},{"types":["country","political"],"long_name":"United States","short_name":"US"},{"long_name":"81611","short_name":"81611","types":["postal_code"]},{"types":["latitude"],"long_name":39.0536012,"short_name":39.0536012},{"types":["longitude"],"long_name":-106.7997604,"short_name":-106.7997604},{"types":["debug_info","cache_load_result"],"long_name":"hit","short_name":"hit"}]</v>
      </c>
      <c r="K219" s="9" t="b">
        <f t="shared" ref="K219:K225" si="318">NOT(AND(NOT(_xlfn.ISFORMULA(P219)),AND(NOT(_xlfn.ISFORMULA(Q219)),AND(NOT(_xlfn.ISFORMULA(R219)),AND(NOT(_xlfn.ISFORMULA(S219)),AND(NOT(_xlfn.ISFORMULA(T219)),AND(NOT(_xlfn.ISFORMULA(U219)),AND(NOT(_xlfn.ISFORMULA(V219)),AND(NOT(_xlfn.ISFORMULA(N219)),NOT(_xlfn.ISFORMULA(O219)))))))))))</f>
        <v>0</v>
      </c>
      <c r="L219" s="8" t="b">
        <f t="shared" si="4"/>
        <v>1</v>
      </c>
      <c r="M219" s="10" t="b">
        <v>1</v>
      </c>
      <c r="N219" s="10">
        <v>39.0536012</v>
      </c>
      <c r="O219" s="10">
        <v>-106.7997604</v>
      </c>
      <c r="P219" s="10" t="s">
        <v>839</v>
      </c>
      <c r="Q219" s="10" t="s">
        <v>840</v>
      </c>
      <c r="R219" s="10">
        <v>81611.0</v>
      </c>
      <c r="S219" s="10" t="s">
        <v>47</v>
      </c>
      <c r="T219" s="19">
        <v>1247.3</v>
      </c>
      <c r="U219" s="32">
        <v>0.7863425925925925</v>
      </c>
      <c r="V219" s="18" t="e">
        <v>#ERROR!</v>
      </c>
      <c r="X219" s="4" t="str">
        <f t="shared" si="5"/>
        <v>N/A</v>
      </c>
      <c r="Y219" s="4"/>
      <c r="Z219" s="4" t="s">
        <v>38</v>
      </c>
    </row>
    <row r="220" hidden="1">
      <c r="A220" s="34" t="s">
        <v>695</v>
      </c>
      <c r="B220" s="4" t="s">
        <v>841</v>
      </c>
      <c r="C220" s="4"/>
      <c r="D220" s="4"/>
      <c r="E220" s="5"/>
      <c r="F220" s="4" t="s">
        <v>842</v>
      </c>
      <c r="G220" s="6" t="str">
        <f t="shared" si="1"/>
        <v>Link</v>
      </c>
      <c r="H220" s="3" t="s">
        <v>45</v>
      </c>
      <c r="I220" s="8" t="str">
        <f t="shared" si="2"/>
        <v>{"address_components":[{"types":["street_number"],"long_name":"23689","short_name":"23689"},{"short_name":"Mowich Lake Rd","long_name":"Mowich Lake Road","types":["route"]},{"short_name":"Carbonado","types":["locality","political"],"long_name":"Carbonado"},{"long_name":"Pierce County","types":["administrative_area_level_2","political"],"short_name":"Pierce County"},{"types":["administrative_area_level_1","political"],"short_name":"WA","long_name":"Washington"},{"long_name":"United States","short_name":"US","types":["country","political"]},{"long_name":"98323","types":["postal_code"],"short_name":"98323"},{"long_name":"23689","short_name":"23689","types":["street_number"]},{"short_name":"Mowich Lake Rd","types":["route"],"long_name":"Mowich Lake Road"},{"long_name":"Carbonado","short_name":"Carbonado","types":["locality","political"]},{"long_name":"Pierce County","types":["administrative_area_level_2","political"],"short_name":"Pierce County"},{"short_name":"WA","long_name":"Washington","types":["administrative_area_level_1","political"]},{"long_name":"United States","short_name":"US","types":["country","political"]},{"types":["postal_code"],"long_name":"98323","short_name":"98323"},{"types":["latitude"],"long_name":47.041995,"short_name":47.041995},{"types":["longitude"],"long_name":-122.039909,"short_name":-122.039909}]}</v>
      </c>
      <c r="J220" s="8" t="str">
        <f t="shared" si="3"/>
        <v>[{"types":["street_number"],"long_name":"23689","short_name":"23689"},{"short_name":"Mowich Lake Rd","long_name":"Mowich Lake Road","types":["route"]},{"short_name":"Carbonado","types":["locality","political"],"long_name":"Carbonado"},{"long_name":"Pierce County","types":["administrative_area_level_2","political"],"short_name":"Pierce County"},{"types":["administrative_area_level_1","political"],"short_name":"WA","long_name":"Washington"},{"long_name":"United States","short_name":"US","types":["country","political"]},{"long_name":"98323","types":["postal_code"],"short_name":"98323"},{"long_name":"23689","short_name":"23689","types":["street_number"]},{"short_name":"Mowich Lake Rd","types":["route"],"long_name":"Mowich Lake Road"},{"long_name":"Carbonado","short_name":"Carbonado","types":["locality","political"]},{"long_name":"Pierce County","types":["administrative_area_level_2","political"],"short_name":"Pierce County"},{"short_name":"WA","long_name":"Washington","types":["administrative_area_level_1","political"]},{"long_name":"United States","short_name":"US","types":["country","political"]},{"types":["postal_code"],"long_name":"98323","short_name":"98323"},{"types":["latitude"],"long_name":47.041995,"short_name":47.041995},{"types":["longitude"],"long_name":-122.039909,"short_name":-122.039909},{"types":["debug_info","cache_load_result"],"long_name":"hit","short_name":"hit"}]</v>
      </c>
      <c r="K220" s="9" t="b">
        <f t="shared" si="318"/>
        <v>0</v>
      </c>
      <c r="L220" s="8" t="b">
        <f t="shared" si="4"/>
        <v>1</v>
      </c>
      <c r="M220" s="10" t="b">
        <v>1</v>
      </c>
      <c r="N220" s="10">
        <v>47.041995</v>
      </c>
      <c r="O220" s="10">
        <v>-122.039909</v>
      </c>
      <c r="P220" s="10" t="s">
        <v>843</v>
      </c>
      <c r="Q220" s="10" t="s">
        <v>193</v>
      </c>
      <c r="R220" s="10">
        <v>98323.0</v>
      </c>
      <c r="S220" s="10" t="s">
        <v>47</v>
      </c>
      <c r="T220" s="19">
        <v>53.9</v>
      </c>
      <c r="U220" s="32">
        <v>0.050462962962962966</v>
      </c>
      <c r="V220" s="18">
        <v>41.99</v>
      </c>
      <c r="W220" s="4" t="s">
        <v>642</v>
      </c>
      <c r="X220" s="4">
        <v>6.0</v>
      </c>
      <c r="Y220" s="25" t="s">
        <v>844</v>
      </c>
      <c r="Z220" s="4" t="s">
        <v>38</v>
      </c>
      <c r="AB220" s="14" t="s">
        <v>845</v>
      </c>
      <c r="AC220" s="14" t="s">
        <v>846</v>
      </c>
      <c r="AF220" s="4" t="s">
        <v>847</v>
      </c>
    </row>
    <row r="221" hidden="1">
      <c r="A221" s="3" t="s">
        <v>695</v>
      </c>
      <c r="B221" s="4" t="s">
        <v>848</v>
      </c>
      <c r="C221" s="4"/>
      <c r="D221" s="4"/>
      <c r="E221" s="5"/>
      <c r="F221" s="4" t="s">
        <v>849</v>
      </c>
      <c r="G221" s="6" t="str">
        <f t="shared" si="1"/>
        <v>Link</v>
      </c>
      <c r="H221" s="3" t="s">
        <v>45</v>
      </c>
      <c r="I221" s="8" t="str">
        <f t="shared" si="2"/>
        <v>{"address_components":[{"types":["locality","political"],"long_name":"Govan","short_name":"Govan"},{"long_name":"Lincoln County","types":["administrative_area_level_2","political"],"short_name":"Lincoln County"},{"short_name":"WA","types":["administrative_area_level_1","political"],"long_name":"Washington"},{"long_name":"United States","types":["country","political"],"short_name":"US"},{"short_name":"99185","types":["postal_code"],"long_name":"99185"},{"long_name":"7437","short_name":"7437","types":["street_number"]},{"types":["route"],"long_name":"Bruce Road East","short_name":"Bruce Rd E"},{"short_name":"Wilbur","types":["locality","political"],"long_name":"Wilbur"},{"types":["administrative_area_level_2","political"],"long_name":"Lincoln County","short_name":"Lincoln County"},{"long_name":"Washington","short_name":"WA","types":["administrative_area_level_1","political"]},{"long_name":"United States","short_name":"US","types":["country","political"]},{"types":["postal_code"],"long_name":"99185","short_name":"99185"},{"types":["latitude"],"long_name":47.7387612,"short_name":47.7387612},{"types":["longitude"],"long_name":-118.8230634,"short_name":-118.8230634}]}</v>
      </c>
      <c r="J221" s="8" t="str">
        <f t="shared" si="3"/>
        <v>[{"types":["locality","political"],"long_name":"Govan","short_name":"Govan"},{"long_name":"Lincoln County","types":["administrative_area_level_2","political"],"short_name":"Lincoln County"},{"short_name":"WA","types":["administrative_area_level_1","political"],"long_name":"Washington"},{"long_name":"United States","types":["country","political"],"short_name":"US"},{"short_name":"99185","types":["postal_code"],"long_name":"99185"},{"long_name":"7437","short_name":"7437","types":["street_number"]},{"types":["route"],"long_name":"Bruce Road East","short_name":"Bruce Rd E"},{"short_name":"Wilbur","types":["locality","political"],"long_name":"Wilbur"},{"types":["administrative_area_level_2","political"],"long_name":"Lincoln County","short_name":"Lincoln County"},{"long_name":"Washington","short_name":"WA","types":["administrative_area_level_1","political"]},{"long_name":"United States","short_name":"US","types":["country","political"]},{"types":["postal_code"],"long_name":"99185","short_name":"99185"},{"types":["latitude"],"long_name":47.7387612,"short_name":47.7387612},{"types":["longitude"],"long_name":-118.8230634,"short_name":-118.8230634},{"types":["debug_info","cache_load_result"],"long_name":"hit","short_name":"hit"}]</v>
      </c>
      <c r="K221" s="9" t="b">
        <f t="shared" si="318"/>
        <v>0</v>
      </c>
      <c r="L221" s="8" t="b">
        <f t="shared" si="4"/>
        <v>1</v>
      </c>
      <c r="M221" s="10" t="b">
        <v>1</v>
      </c>
      <c r="N221" s="10">
        <v>47.7387612</v>
      </c>
      <c r="O221" s="10">
        <v>-118.8230634</v>
      </c>
      <c r="P221" s="10" t="s">
        <v>850</v>
      </c>
      <c r="Q221" s="10" t="s">
        <v>193</v>
      </c>
      <c r="R221" s="10">
        <v>99185.0</v>
      </c>
      <c r="S221" s="10" t="s">
        <v>47</v>
      </c>
      <c r="T221" s="19">
        <v>225.1</v>
      </c>
      <c r="U221" s="32">
        <v>0.15875</v>
      </c>
      <c r="V221" s="18">
        <v>163.91</v>
      </c>
      <c r="W221" s="4"/>
      <c r="X221" s="4" t="str">
        <f t="shared" ref="X221:X248" si="319">if(W221="YES","UNKNOWN","N/A")</f>
        <v>N/A</v>
      </c>
      <c r="Y221" s="4"/>
      <c r="Z221" s="4" t="s">
        <v>38</v>
      </c>
      <c r="AA221" s="4"/>
      <c r="AB221" s="14" t="s">
        <v>851</v>
      </c>
      <c r="AC221" s="14" t="s">
        <v>348</v>
      </c>
      <c r="AD221" s="4"/>
      <c r="AE221" s="4"/>
      <c r="AF221" s="4" t="s">
        <v>852</v>
      </c>
    </row>
    <row r="222" hidden="1">
      <c r="A222" s="3" t="s">
        <v>695</v>
      </c>
      <c r="B222" s="4" t="s">
        <v>853</v>
      </c>
      <c r="C222" s="4"/>
      <c r="D222" s="4"/>
      <c r="E222" s="5"/>
      <c r="F222" s="4" t="s">
        <v>854</v>
      </c>
      <c r="G222" s="6" t="str">
        <f t="shared" si="1"/>
        <v>Link</v>
      </c>
      <c r="H222" s="3" t="s">
        <v>45</v>
      </c>
      <c r="I222" s="8" t="str">
        <f t="shared" si="2"/>
        <v>{"address_components":[{"short_name":"Bodie","long_name":"Bodie","types":["locality","political"]},{"long_name":"Okanogan County","types":["administrative_area_level_2","political"],"short_name":"Okanogan County"},{"long_name":"Washington","short_name":"WA","types":["administrative_area_level_1","political"]},{"short_name":"US","types":["country","political"],"long_name":"United States"},{"short_name":"98859","types":["postal_code"],"long_name":"98859"},{"types":["plus_code"],"short_name":"R4M3+38","long_name":"R4M3+38"},{"long_name":"Bodie","types":["locality","political"],"short_name":"Bodie"},{"long_name":"Okanogan County","types":["administrative_area_level_2","political"],"short_name":"Okanogan County"},{"long_name":"Washington","short_name":"WA","types":["administrative_area_level_1","political"]},{"short_name":"US","long_name":"United States","types":["country","political"]},{"types":["postal_code"],"long_name":"98859","short_name":"98859"},{"types":["latitude"],"long_name":48.8326674,"short_name":48.8326674},{"types":["longitude"],"long_name":-118.8967044,"short_name":-118.8967044}]}</v>
      </c>
      <c r="J222" s="8" t="str">
        <f t="shared" si="3"/>
        <v>[{"short_name":"Bodie","long_name":"Bodie","types":["locality","political"]},{"long_name":"Okanogan County","types":["administrative_area_level_2","political"],"short_name":"Okanogan County"},{"long_name":"Washington","short_name":"WA","types":["administrative_area_level_1","political"]},{"short_name":"US","types":["country","political"],"long_name":"United States"},{"short_name":"98859","types":["postal_code"],"long_name":"98859"},{"types":["plus_code"],"short_name":"R4M3+38","long_name":"R4M3+38"},{"long_name":"Bodie","types":["locality","political"],"short_name":"Bodie"},{"long_name":"Okanogan County","types":["administrative_area_level_2","political"],"short_name":"Okanogan County"},{"long_name":"Washington","short_name":"WA","types":["administrative_area_level_1","political"]},{"short_name":"US","long_name":"United States","types":["country","political"]},{"types":["postal_code"],"long_name":"98859","short_name":"98859"},{"types":["latitude"],"long_name":48.8326674,"short_name":48.8326674},{"types":["longitude"],"long_name":-118.8967044,"short_name":-118.8967044},{"types":["debug_info","cache_load_result"],"long_name":"hit","short_name":"hit"}]</v>
      </c>
      <c r="K222" s="9" t="b">
        <f t="shared" si="318"/>
        <v>0</v>
      </c>
      <c r="L222" s="8" t="b">
        <f t="shared" si="4"/>
        <v>1</v>
      </c>
      <c r="M222" s="10" t="b">
        <v>1</v>
      </c>
      <c r="N222" s="10">
        <v>48.8326674</v>
      </c>
      <c r="O222" s="10">
        <v>-118.8967044</v>
      </c>
      <c r="P222" s="10" t="s">
        <v>855</v>
      </c>
      <c r="Q222" s="10" t="s">
        <v>193</v>
      </c>
      <c r="R222" s="10">
        <v>98859.0</v>
      </c>
      <c r="S222" s="10" t="s">
        <v>47</v>
      </c>
      <c r="T222" s="19">
        <v>293.0</v>
      </c>
      <c r="U222" s="32">
        <v>0.21836805555555555</v>
      </c>
      <c r="V222" s="18">
        <v>179.52</v>
      </c>
      <c r="W222" s="4"/>
      <c r="X222" s="4" t="str">
        <f t="shared" si="319"/>
        <v>N/A</v>
      </c>
      <c r="Y222" s="4"/>
      <c r="Z222" s="4" t="s">
        <v>38</v>
      </c>
      <c r="AC222" s="14" t="s">
        <v>348</v>
      </c>
      <c r="AD222" s="4"/>
    </row>
    <row r="223" hidden="1">
      <c r="A223" s="3" t="s">
        <v>695</v>
      </c>
      <c r="B223" s="4" t="s">
        <v>856</v>
      </c>
      <c r="C223" s="4"/>
      <c r="D223" s="4" t="s">
        <v>857</v>
      </c>
      <c r="E223" s="5"/>
      <c r="F223" s="4" t="s">
        <v>858</v>
      </c>
      <c r="G223" s="6" t="str">
        <f t="shared" si="1"/>
        <v>Link</v>
      </c>
      <c r="H223" s="3" t="s">
        <v>45</v>
      </c>
      <c r="I223" s="8" t="str">
        <f t="shared" si="2"/>
        <v>{"address_components":[{"short_name":"Silver City","long_name":"Silver City","types":["locality","political"]},{"short_name":"Owyhee County","long_name":"Owyhee County","types":["administrative_area_level_2","political"]},{"short_name":"ID","types":["administrative_area_level_1","political"],"long_name":"Idaho"},{"types":["country","political"],"short_name":"US","long_name":"United States"},{"long_name":"83650","types":["postal_code"],"short_name":"83650"},{"long_name":"8456","short_name":"8456","types":["street_number"]},{"types":["route"],"short_name":"Avalanche St","long_name":"Avalanche Street"},{"short_name":"Murphy","long_name":"Murphy","types":["locality","political"]},{"short_name":"Owyhee County","types":["administrative_area_level_2","political"],"long_name":"Owyhee County"},{"types":["administrative_area_level_1","political"],"long_name":"Idaho","short_name":"ID"},{"long_name":"United States","short_name":"US","types":["country","political"]},{"short_name":"83650","types":["postal_code"],"long_name":"83650"},{"types":["latitude"],"long_name":43.0168263,"short_name":43.0168263},{"types":["longitude"],"long_name":-116.7331802,"short_name":-116.7331802}]}</v>
      </c>
      <c r="J223" s="8" t="str">
        <f t="shared" si="3"/>
        <v>[{"short_name":"Silver City","long_name":"Silver City","types":["locality","political"]},{"short_name":"Owyhee County","long_name":"Owyhee County","types":["administrative_area_level_2","political"]},{"short_name":"ID","types":["administrative_area_level_1","political"],"long_name":"Idaho"},{"types":["country","political"],"short_name":"US","long_name":"United States"},{"long_name":"83650","types":["postal_code"],"short_name":"83650"},{"long_name":"8456","short_name":"8456","types":["street_number"]},{"types":["route"],"short_name":"Avalanche St","long_name":"Avalanche Street"},{"short_name":"Murphy","long_name":"Murphy","types":["locality","political"]},{"short_name":"Owyhee County","types":["administrative_area_level_2","political"],"long_name":"Owyhee County"},{"types":["administrative_area_level_1","political"],"long_name":"Idaho","short_name":"ID"},{"long_name":"United States","short_name":"US","types":["country","political"]},{"short_name":"83650","types":["postal_code"],"long_name":"83650"},{"types":["latitude"],"long_name":43.0168263,"short_name":43.0168263},{"types":["longitude"],"long_name":-116.7331802,"short_name":-116.7331802},{"types":["debug_info","cache_load_result"],"long_name":"hit","short_name":"hit"}]</v>
      </c>
      <c r="K223" s="9" t="b">
        <f t="shared" si="318"/>
        <v>0</v>
      </c>
      <c r="L223" s="8" t="b">
        <f t="shared" si="4"/>
        <v>1</v>
      </c>
      <c r="M223" s="15" t="b">
        <v>1</v>
      </c>
      <c r="N223" s="10">
        <v>43.0168263</v>
      </c>
      <c r="O223" s="10">
        <v>-116.7331802</v>
      </c>
      <c r="P223" s="10" t="s">
        <v>856</v>
      </c>
      <c r="Q223" s="10" t="s">
        <v>555</v>
      </c>
      <c r="R223" s="10">
        <v>83650.0</v>
      </c>
      <c r="S223" s="10" t="s">
        <v>47</v>
      </c>
      <c r="T223" s="19">
        <v>542.4</v>
      </c>
      <c r="U223" s="32">
        <v>0.40493055555555557</v>
      </c>
      <c r="V223" s="18">
        <v>418.29</v>
      </c>
      <c r="X223" s="4" t="str">
        <f t="shared" si="319"/>
        <v>N/A</v>
      </c>
      <c r="Z223" s="4" t="s">
        <v>38</v>
      </c>
    </row>
    <row r="224" hidden="1">
      <c r="A224" s="3" t="s">
        <v>695</v>
      </c>
      <c r="B224" s="4" t="s">
        <v>859</v>
      </c>
      <c r="C224" s="4"/>
      <c r="D224" s="4"/>
      <c r="E224" s="5"/>
      <c r="F224" s="4" t="s">
        <v>860</v>
      </c>
      <c r="G224" s="6" t="str">
        <f t="shared" si="1"/>
        <v>Link</v>
      </c>
      <c r="H224" s="3" t="s">
        <v>45</v>
      </c>
      <c r="I224" s="8" t="str">
        <f t="shared" si="2"/>
        <v>{"address_components":[{"types":["route"],"short_name":"Elkhorn Rd","long_name":"Elkhorn Road"},{"long_name":"Jefferson County","types":["administrative_area_level_2","political"],"short_name":"Jefferson County"},{"short_name":"MT","long_name":"Montana","types":["administrative_area_level_1","political"]},{"long_name":"United States","types":["country","political"],"short_name":"US"},{"types":["postal_code"],"short_name":"59632","long_name":"59632"},{"long_name":"227","types":["street_number"],"short_name":"227"},{"long_name":"Elkhorn Road","types":["route"],"short_name":"Elkhorn Rd"},{"long_name":"Boulder","types":["locality","political"],"short_name":"Boulder"},{"long_name":"Jefferson County","types":["administrative_area_level_2","political"],"short_name":"Jefferson County"},{"long_name":"Montana","short_name":"MT","types":["administrative_area_level_1","political"]},{"long_name":"United States","types":["country","political"],"short_name":"US"},{"short_name":"59632","types":["postal_code"],"long_name":"59632"},{"long_name":"9742","types":["postal_code_suffix"],"short_name":"9742"},{"types":["latitude"],"long_name":46.1792754,"short_name":46.1792754},{"types":["longitude"],"long_name":-111.969703,"short_name":-111.969703}]}</v>
      </c>
      <c r="J224" s="8" t="str">
        <f t="shared" si="3"/>
        <v>[{"types":["route"],"short_name":"Elkhorn Rd","long_name":"Elkhorn Road"},{"long_name":"Jefferson County","types":["administrative_area_level_2","political"],"short_name":"Jefferson County"},{"short_name":"MT","long_name":"Montana","types":["administrative_area_level_1","political"]},{"long_name":"United States","types":["country","political"],"short_name":"US"},{"types":["postal_code"],"short_name":"59632","long_name":"59632"},{"long_name":"227","types":["street_number"],"short_name":"227"},{"long_name":"Elkhorn Road","types":["route"],"short_name":"Elkhorn Rd"},{"long_name":"Boulder","types":["locality","political"],"short_name":"Boulder"},{"long_name":"Jefferson County","types":["administrative_area_level_2","political"],"short_name":"Jefferson County"},{"long_name":"Montana","short_name":"MT","types":["administrative_area_level_1","political"]},{"long_name":"United States","types":["country","political"],"short_name":"US"},{"short_name":"59632","types":["postal_code"],"long_name":"59632"},{"long_name":"9742","types":["postal_code_suffix"],"short_name":"9742"},{"types":["latitude"],"long_name":46.1792754,"short_name":46.1792754},{"types":["longitude"],"long_name":-111.969703,"short_name":-111.969703},{"types":["debug_info","cache_load_result"],"long_name":"hit","short_name":"hit"}]</v>
      </c>
      <c r="K224" s="9" t="b">
        <f t="shared" si="318"/>
        <v>0</v>
      </c>
      <c r="L224" s="8" t="b">
        <f t="shared" si="4"/>
        <v>1</v>
      </c>
      <c r="M224" s="10" t="b">
        <v>1</v>
      </c>
      <c r="N224" s="10">
        <v>46.1792754</v>
      </c>
      <c r="O224" s="10">
        <v>-111.969703</v>
      </c>
      <c r="P224" s="10" t="s">
        <v>861</v>
      </c>
      <c r="Q224" s="10" t="s">
        <v>593</v>
      </c>
      <c r="R224" s="10">
        <v>59632.0</v>
      </c>
      <c r="S224" s="10" t="s">
        <v>47</v>
      </c>
      <c r="T224" s="19">
        <v>636.8</v>
      </c>
      <c r="U224" s="32">
        <v>0.42444444444444446</v>
      </c>
      <c r="V224" s="18">
        <v>491.21</v>
      </c>
      <c r="X224" s="4" t="str">
        <f t="shared" si="319"/>
        <v>N/A</v>
      </c>
      <c r="Z224" s="4" t="s">
        <v>38</v>
      </c>
    </row>
    <row r="225" hidden="1">
      <c r="A225" s="3" t="s">
        <v>695</v>
      </c>
      <c r="B225" s="4" t="s">
        <v>862</v>
      </c>
      <c r="C225" s="4" t="s">
        <v>863</v>
      </c>
      <c r="D225" s="4"/>
      <c r="E225" s="5"/>
      <c r="F225" s="4" t="s">
        <v>862</v>
      </c>
      <c r="G225" s="6" t="str">
        <f t="shared" si="1"/>
        <v>Link</v>
      </c>
      <c r="H225" s="3" t="s">
        <v>45</v>
      </c>
      <c r="I225" s="8" t="str">
        <f t="shared" si="2"/>
        <v>{"address_components":[{"types":["locality","political"],"short_name":"Thistle","long_name":"Thistle"},{"long_name":"Utah County","short_name":"Utah County","types":["administrative_area_level_2","political"]},{"long_name":"Utah","types":["administrative_area_level_1","political"],"short_name":"UT"},{"short_name":"US","long_name":"United States","types":["country","political"]},{"short_name":"84629","types":["postal_code"],"long_name":"84629"},{"long_name":"155","short_name":"155","types":["street_number"]},{"types":["route"],"short_name":"S State St","long_name":"South State Street"},{"long_name":"Fairview","short_name":"Fairview","types":["locality","political"]},{"long_name":"Utah County","short_name":"Utah County","types":["administrative_area_level_2","political"]},{"long_name":"Utah","short_name":"UT","types":["administrative_area_level_1","political"]},{"types":["country","political"],"long_name":"United States","short_name":"US"},{"long_name":"84629","short_name":"84629","types":["postal_code"]},{"long_name":"5799","short_name":"5799","types":["postal_code_suffix"]},{"types":["latitude"],"long_name":39.9913448,"short_name":39.9913448},{"types":["longitude"],"long_name":-111.4982447,"short_name":-111.4982447}]}</v>
      </c>
      <c r="J225" s="8" t="str">
        <f t="shared" si="3"/>
        <v>[{"types":["locality","political"],"short_name":"Thistle","long_name":"Thistle"},{"long_name":"Utah County","short_name":"Utah County","types":["administrative_area_level_2","political"]},{"long_name":"Utah","types":["administrative_area_level_1","political"],"short_name":"UT"},{"short_name":"US","long_name":"United States","types":["country","political"]},{"short_name":"84629","types":["postal_code"],"long_name":"84629"},{"long_name":"155","short_name":"155","types":["street_number"]},{"types":["route"],"short_name":"S State St","long_name":"South State Street"},{"long_name":"Fairview","short_name":"Fairview","types":["locality","political"]},{"long_name":"Utah County","short_name":"Utah County","types":["administrative_area_level_2","political"]},{"long_name":"Utah","short_name":"UT","types":["administrative_area_level_1","political"]},{"types":["country","political"],"long_name":"United States","short_name":"US"},{"long_name":"84629","short_name":"84629","types":["postal_code"]},{"long_name":"5799","short_name":"5799","types":["postal_code_suffix"]},{"types":["latitude"],"long_name":39.9913448,"short_name":39.9913448},{"types":["longitude"],"long_name":-111.4982447,"short_name":-111.4982447},{"types":["debug_info","cache_load_result"],"long_name":"hit","short_name":"hit"}]</v>
      </c>
      <c r="K225" s="9" t="b">
        <f t="shared" si="318"/>
        <v>0</v>
      </c>
      <c r="L225" s="8" t="b">
        <f t="shared" si="4"/>
        <v>1</v>
      </c>
      <c r="M225" s="10" t="b">
        <v>1</v>
      </c>
      <c r="N225" s="10">
        <v>39.9913448</v>
      </c>
      <c r="O225" s="10">
        <v>-111.4982447</v>
      </c>
      <c r="P225" s="10" t="s">
        <v>864</v>
      </c>
      <c r="Q225" s="10" t="s">
        <v>865</v>
      </c>
      <c r="R225" s="10">
        <v>84629.0</v>
      </c>
      <c r="S225" s="10" t="s">
        <v>47</v>
      </c>
      <c r="T225" s="19">
        <v>896.2</v>
      </c>
      <c r="U225" s="32">
        <v>0.5740277777777778</v>
      </c>
      <c r="V225" s="18">
        <v>753.49</v>
      </c>
      <c r="W225" s="4"/>
      <c r="X225" s="4" t="str">
        <f t="shared" si="319"/>
        <v>N/A</v>
      </c>
      <c r="Y225" s="4"/>
      <c r="Z225" s="4" t="s">
        <v>38</v>
      </c>
      <c r="AB225" s="14" t="s">
        <v>866</v>
      </c>
      <c r="AF225" s="4" t="s">
        <v>867</v>
      </c>
    </row>
    <row r="226" hidden="1">
      <c r="A226" s="34" t="s">
        <v>695</v>
      </c>
      <c r="B226" s="4" t="s">
        <v>868</v>
      </c>
      <c r="C226" s="4"/>
      <c r="D226" s="4"/>
      <c r="E226" s="5"/>
      <c r="F226" s="4" t="s">
        <v>869</v>
      </c>
      <c r="G226" s="6" t="str">
        <f t="shared" si="1"/>
        <v>Link</v>
      </c>
      <c r="H226" s="3" t="s">
        <v>45</v>
      </c>
      <c r="I226" s="8" t="str">
        <f t="shared" si="2"/>
        <v>{"address_components":[{"short_name":"Monte Cristo Trail","types":["route"],"long_name":"Monte Cristo Trail"},{"short_name":"Snohomish County","long_name":"Snohomish County","types":["administrative_area_level_2","political"]},{"short_name":"WA","types":["administrative_area_level_1","political"],"long_name":"Washington"},{"short_name":"US","types":["country","political"],"long_name":"United States"},{"long_name":"Monte Cristo Trail","short_name":"Monte Cristo Trail","types":["route"]},{"short_name":"Snohomish County","types":["administrative_area_level_2","political"],"long_name":"Snohomish County"},{"long_name":"Washington","types":["administrative_area_level_1","political"],"short_name":"WA"},{"short_name":"US","long_name":"United States","types":["country","political"]},{"types":["latitude"],"long_name":48.0013862,"short_name":48.0013862},{"types":["longitude"],"long_name":-121.4258388,"short_name":-121.4258388}],"distance_from":{"mi":{"driving":{"2116 4th Ave, Seattle, WA, 98121":"GOOGLE_MAPS_ERROR_CACHED - No route found!"},"flying":{"2116 4th Ave, Seattle, WA, 98121":50.21064535772429}}},"duration_from":{"days":{"driving":{"2116 4th Ave, Seattle, WA, 98121":"GOOGLE_MAPS_ERROR_CACHED - No route found!"}}}}</v>
      </c>
      <c r="J226" s="8" t="str">
        <f t="shared" si="3"/>
        <v>[{"short_name":"Monte Cristo Trail","types":["route"],"long_name":"Monte Cristo Trail"},{"short_name":"Snohomish County","long_name":"Snohomish County","types":["administrative_area_level_2","political"]},{"short_name":"WA","types":["administrative_area_level_1","political"],"long_name":"Washington"},{"short_name":"US","types":["country","political"],"long_name":"United States"},{"long_name":"Monte Cristo Trail","short_name":"Monte Cristo Trail","types":["route"]},{"short_name":"Snohomish County","types":["administrative_area_level_2","political"],"long_name":"Snohomish County"},{"long_name":"Washington","types":["administrative_area_level_1","political"],"short_name":"WA"},{"short_name":"US","long_name":"United States","types":["country","political"]},{"types":["latitude"],"long_name":48.0013862,"short_name":48.0013862},{"types":["longitude"],"long_name":-121.4258388,"short_name":-121.4258388},{"types":["debug_info","cache_load_result"],"long_name":"hit","short_name":"hit"}]</v>
      </c>
      <c r="K226" s="9" t="b">
        <f t="shared" ref="K226:K228" si="320">NOT(AND(NOT(_xlfn.ISFORMULA(P226)),AND(NOT(_xlfn.ISFORMULA(Q226)),AND(NOT(_xlfn.ISFORMULA(R226)),AND(NOT(_xlfn.ISFORMULA(S226)),AND(NOT(_xlfn.ISFORMULA(T226)),AND(NOT(_xlfn.ISFORMULA(U226)),AND(NOT(_xlfn.ISFORMULA(V226))))))))))</f>
        <v>1</v>
      </c>
      <c r="L226" s="8" t="b">
        <f t="shared" si="4"/>
        <v>0</v>
      </c>
      <c r="M226" s="10" t="b">
        <v>1</v>
      </c>
      <c r="N226" s="8">
        <f t="shared" ref="N226:N228" si="321">GOOGLEMAPS_GET_ADDRESS_LATITUDE(F226,true)</f>
        <v>48.0013862</v>
      </c>
      <c r="O226" s="8">
        <f t="shared" ref="O226:O228" si="322">GOOGLEMAPS_GET_ADDRESS_LONGITUDE(F226,true)</f>
        <v>-121.4258388</v>
      </c>
      <c r="P226" s="8" t="str">
        <f t="shared" ref="P226:P228" si="323">GOOGLEMAPS_GET_ADDRESS_CITY(F226,true,false)</f>
        <v>UNDEFINED</v>
      </c>
      <c r="Q226" s="8" t="str">
        <f t="shared" ref="Q226:Q228" si="324">GOOGLEMAPS_GET_ADDRESS_STATE(F226,true,false)</f>
        <v>Washington</v>
      </c>
      <c r="R226" s="8" t="str">
        <f t="shared" ref="R226:R228" si="325">GOOGLEMAPS_GET_ADDRESS_POSTAL_CODE(F226,false,false)</f>
        <v>UNDEFINED</v>
      </c>
      <c r="S226" s="8" t="str">
        <f t="shared" ref="S226:S228" si="326">GOOGLEMAPS_GET_ADDRESS_COUNTRY(F226,true,false)</f>
        <v>United States</v>
      </c>
      <c r="T226" s="11" t="str">
        <f t="shared" ref="T226:T228" si="327">IFERROR(GOOGLEMAPS_DISTANCE("2116 4th Ave, Seattle, WA, 98121", F226, "driving")+0,"Not Driveable")</f>
        <v>Not Driveable</v>
      </c>
      <c r="U226" s="12" t="str">
        <f t="shared" ref="U226:U228" si="328">iferror(GOOGLEMAPS_DURATION("2116 4th Ave, Seattle, WA, 98121", F226, "driving")+0,"Not Driveable")</f>
        <v>Not Driveable</v>
      </c>
      <c r="V226" s="13">
        <f t="shared" ref="V226:V228" si="329">GOOGLEMAPS_DISTANCE("2116 4th Ave, Seattle, WA, 98121", F226, "flying")+0</f>
        <v>50.21064536</v>
      </c>
      <c r="W226" s="4"/>
      <c r="X226" s="4" t="str">
        <f t="shared" si="319"/>
        <v>N/A</v>
      </c>
      <c r="Y226" s="4"/>
      <c r="Z226" s="4" t="s">
        <v>38</v>
      </c>
      <c r="AB226" s="14" t="s">
        <v>845</v>
      </c>
      <c r="AF226" s="4" t="s">
        <v>870</v>
      </c>
    </row>
    <row r="227" hidden="1">
      <c r="A227" s="3" t="s">
        <v>695</v>
      </c>
      <c r="B227" s="4" t="s">
        <v>871</v>
      </c>
      <c r="C227" s="4" t="s">
        <v>872</v>
      </c>
      <c r="D227" s="4"/>
      <c r="E227" s="5"/>
      <c r="F227" s="4" t="s">
        <v>873</v>
      </c>
      <c r="G227" s="6" t="str">
        <f t="shared" si="1"/>
        <v>Link</v>
      </c>
      <c r="H227" s="3" t="s">
        <v>45</v>
      </c>
      <c r="I227" s="8" t="str">
        <f t="shared" si="2"/>
        <v>{"address_components":[{"long_name":"Netaji Subhash Chandra Bose Island","short_name":"Netaji Subhash Chandra Bose Island","types":["establishment","natural_feature"]},{"types":["administrative_area_level_1","political"],"long_name":"Andaman and Nicobar Islands","short_name":"AN"},{"types":["country","political"],"short_name":"IN","long_name":"India"},{"long_name":"MQF6+QQV","types":["plus_code"],"short_name":"MQF6+QQV"},{"long_name":"NSC Bose Dweep","short_name":"NSC Bose Dweep","types":["route"]},{"long_name":"Sri Vijaya Puram","short_name":"Sri Vijaya Puram","types":["locality","political"]},{"long_name":"South Andaman","short_name":"South Andaman","types":["administrative_area_level_3","political"]},{"long_name":"Andaman and Nicobar Islands","types":["administrative_area_level_1","political"],"short_name":"AN"},{"long_name":"India","short_name":"IN","types":["country","political"]},{"types":["latitude"],"long_name":11.6758295,"short_name":11.6758295},{"types":["longitude"],"long_name":92.7624249,"short_name":92.7624249}],"duration_from":{"days":{"driving":{"2116 4th Ave, Seattle, WA, 98121":"GOOGLE_MAPS_ERROR_CACHED - No route found!"}}},"distance_from":{"mi":{"driving":{"2116 4th Ave, Seattle, WA, 98121":"GOOGLE_MAPS_ERROR_CACHED - No route found!"},"flying":{"2116 4th Ave, Seattle, WA, 98121":7807.04263859719}}}}</v>
      </c>
      <c r="J227" s="8" t="str">
        <f t="shared" si="3"/>
        <v>[{"long_name":"Netaji Subhash Chandra Bose Island","short_name":"Netaji Subhash Chandra Bose Island","types":["establishment","natural_feature"]},{"types":["administrative_area_level_1","political"],"long_name":"Andaman and Nicobar Islands","short_name":"AN"},{"types":["country","political"],"short_name":"IN","long_name":"India"},{"long_name":"MQF6+QQV","types":["plus_code"],"short_name":"MQF6+QQV"},{"long_name":"NSC Bose Dweep","short_name":"NSC Bose Dweep","types":["route"]},{"long_name":"Sri Vijaya Puram","short_name":"Sri Vijaya Puram","types":["locality","political"]},{"long_name":"South Andaman","short_name":"South Andaman","types":["administrative_area_level_3","political"]},{"long_name":"Andaman and Nicobar Islands","types":["administrative_area_level_1","political"],"short_name":"AN"},{"long_name":"India","short_name":"IN","types":["country","political"]},{"types":["latitude"],"long_name":11.6758295,"short_name":11.6758295},{"types":["longitude"],"long_name":92.7624249,"short_name":92.7624249},{"types":["debug_info","cache_load_result"],"long_name":"hit","short_name":"hit"}]</v>
      </c>
      <c r="K227" s="9" t="b">
        <f t="shared" si="320"/>
        <v>1</v>
      </c>
      <c r="L227" s="8" t="b">
        <f t="shared" si="4"/>
        <v>0</v>
      </c>
      <c r="M227" s="10" t="b">
        <v>1</v>
      </c>
      <c r="N227" s="8">
        <f t="shared" si="321"/>
        <v>11.6758295</v>
      </c>
      <c r="O227" s="8">
        <f t="shared" si="322"/>
        <v>92.7624249</v>
      </c>
      <c r="P227" s="8" t="str">
        <f t="shared" si="323"/>
        <v>Sri Vijaya Puram</v>
      </c>
      <c r="Q227" s="8" t="str">
        <f t="shared" si="324"/>
        <v>Andaman and Nicobar Islands</v>
      </c>
      <c r="R227" s="8" t="str">
        <f t="shared" si="325"/>
        <v>UNDEFINED</v>
      </c>
      <c r="S227" s="8" t="str">
        <f t="shared" si="326"/>
        <v>India</v>
      </c>
      <c r="T227" s="11" t="str">
        <f t="shared" si="327"/>
        <v>Not Driveable</v>
      </c>
      <c r="U227" s="12" t="str">
        <f t="shared" si="328"/>
        <v>Not Driveable</v>
      </c>
      <c r="V227" s="13">
        <f t="shared" si="329"/>
        <v>7807.042639</v>
      </c>
      <c r="W227" s="4"/>
      <c r="X227" s="4" t="str">
        <f t="shared" si="319"/>
        <v>N/A</v>
      </c>
      <c r="Y227" s="4"/>
      <c r="Z227" s="4" t="s">
        <v>38</v>
      </c>
      <c r="AC227" s="14" t="s">
        <v>102</v>
      </c>
      <c r="AD227" s="4"/>
    </row>
    <row r="228">
      <c r="A228" s="3" t="s">
        <v>695</v>
      </c>
      <c r="B228" s="4" t="s">
        <v>874</v>
      </c>
      <c r="C228" s="4"/>
      <c r="D228" s="4"/>
      <c r="E228" s="5"/>
      <c r="F228" s="4" t="s">
        <v>874</v>
      </c>
      <c r="G228" s="6" t="str">
        <f t="shared" si="1"/>
        <v>Link</v>
      </c>
      <c r="H228" s="3" t="s">
        <v>45</v>
      </c>
      <c r="I228" s="8" t="str">
        <f t="shared" si="2"/>
        <v>{"address_components":[{"short_name":"Hirta","long_name":"Hirta","types":["establishment","natural_feature"]},{"types":["administrative_area_level_1","political"],"short_name":"Scotland","long_name":"Scotland"},{"types":["country","political"],"long_name":"United Kingdom","short_name":"GB"},{"short_name":"9C9HRC77+CR","long_name":"9C9HRC77+CR","types":["plus_code"]},{"types":["latitude"],"long_name":57.81353169999999,"short_name":57.81353169999999},{"types":["longitude"],"long_name":-8.5854952,"short_name":-8.5854952}],"distance_from":{"mi":{"driving":{"2116 4th Ave, Seattle, WA, 98121":"GOOGLE_MAPS_ERROR_CACHED - No route found!"},"flying":{"2116 4th Ave, Seattle, WA, 98121":4234.3811748915705}}},"duration_from":{"days":{"driving":{"2116 4th Ave, Seattle, WA, 98121":"GOOGLE_MAPS_ERROR_CACHED - No route found!"}}}}</v>
      </c>
      <c r="J228" s="8" t="str">
        <f t="shared" si="3"/>
        <v>[{"short_name":"Hirta","long_name":"Hirta","types":["establishment","natural_feature"]},{"types":["administrative_area_level_1","political"],"short_name":"Scotland","long_name":"Scotland"},{"types":["country","political"],"long_name":"United Kingdom","short_name":"GB"},{"short_name":"9C9HRC77+CR","long_name":"9C9HRC77+CR","types":["plus_code"]},{"types":["latitude"],"long_name":57.81353169999999,"short_name":57.81353169999999},{"types":["longitude"],"long_name":-8.5854952,"short_name":-8.5854952},{"types":["debug_info","cache_load_result"],"long_name":"hit","short_name":"hit"}]</v>
      </c>
      <c r="K228" s="9" t="b">
        <f t="shared" si="320"/>
        <v>1</v>
      </c>
      <c r="L228" s="8" t="b">
        <f t="shared" si="4"/>
        <v>0</v>
      </c>
      <c r="M228" s="10" t="b">
        <v>1</v>
      </c>
      <c r="N228" s="8">
        <f t="shared" si="321"/>
        <v>57.8135317</v>
      </c>
      <c r="O228" s="8">
        <f t="shared" si="322"/>
        <v>-8.5854952</v>
      </c>
      <c r="P228" s="8" t="str">
        <f t="shared" si="323"/>
        <v>UNDEFINED</v>
      </c>
      <c r="Q228" s="8" t="str">
        <f t="shared" si="324"/>
        <v>Scotland</v>
      </c>
      <c r="R228" s="8" t="str">
        <f t="shared" si="325"/>
        <v>UNDEFINED</v>
      </c>
      <c r="S228" s="8" t="str">
        <f t="shared" si="326"/>
        <v>United Kingdom</v>
      </c>
      <c r="T228" s="11" t="str">
        <f t="shared" si="327"/>
        <v>Not Driveable</v>
      </c>
      <c r="U228" s="12" t="str">
        <f t="shared" si="328"/>
        <v>Not Driveable</v>
      </c>
      <c r="V228" s="13">
        <f t="shared" si="329"/>
        <v>4234.381175</v>
      </c>
      <c r="X228" s="4" t="str">
        <f t="shared" si="319"/>
        <v>N/A</v>
      </c>
      <c r="Y228" s="4"/>
      <c r="Z228" s="4" t="s">
        <v>38</v>
      </c>
      <c r="AF228" s="4" t="s">
        <v>875</v>
      </c>
    </row>
    <row r="229">
      <c r="A229" s="3" t="s">
        <v>695</v>
      </c>
      <c r="B229" s="4" t="s">
        <v>876</v>
      </c>
      <c r="C229" s="4"/>
      <c r="D229" s="4"/>
      <c r="E229" s="5"/>
      <c r="F229" s="4" t="s">
        <v>877</v>
      </c>
      <c r="G229" s="6" t="str">
        <f t="shared" si="1"/>
        <v>Link</v>
      </c>
      <c r="H229" s="3" t="s">
        <v>37</v>
      </c>
      <c r="I229" s="8" t="str">
        <f t="shared" si="2"/>
        <v>{"address_components":[{"long_name":"111","types":["street_number"],"short_name":"111"},{"short_name":"Hautajärventie","long_name":"Hautajärventie","types":["route"]},{"long_name":"Salla","types":["locality","political"],"short_name":"Salla"},{"short_name":"Salla","long_name":"Salla","types":["administrative_area_level_3","political"]},{"long_name":"Itä-Lappi","types":["administrative_area_level_2","political"],"short_name":"Itä-Lappi"},{"short_name":"Lappi","long_name":"Lappi","types":["administrative_area_level_1","political"]},{"short_name":"FI","long_name":"Finland","types":["country","political"]},{"short_name":"98900","long_name":"98900","types":["postal_code"]},{"short_name":"111","long_name":"111","types":["street_number"]},{"long_name":"Hautajärventie","types":["route"],"short_name":"Hautajärventie"},{"long_name":"Salla","types":["locality","political"],"short_name":"Salla"},{"long_name":"Salla","types":["administrative_area_level_3","political"],"short_name":"Salla"},{"short_name":"Itä-Lappi","long_name":"Itä-Lappi","types":["administrative_area_level_2","political"]},{"short_name":"Lappi","long_name":"Lappi","types":["administrative_area_level_1","political"]},{"short_name":"FI","long_name":"Finland","types":["country","political"]},{"long_name":"98900","types":["postal_code"],"short_name":"98900"},{"types":["latitude"],"long_name":66.74052139999999,"short_name":66.74052139999999},{"types":["longitude"],"long_name":28.8211315,"short_name":28.8211315}]}</v>
      </c>
      <c r="J229" s="8" t="str">
        <f t="shared" si="3"/>
        <v>[{"long_name":"111","types":["street_number"],"short_name":"111"},{"short_name":"Hautajärventie","long_name":"Hautajärventie","types":["route"]},{"long_name":"Salla","types":["locality","political"],"short_name":"Salla"},{"short_name":"Salla","long_name":"Salla","types":["administrative_area_level_3","political"]},{"long_name":"Itä-Lappi","types":["administrative_area_level_2","political"],"short_name":"Itä-Lappi"},{"short_name":"Lappi","long_name":"Lappi","types":["administrative_area_level_1","political"]},{"short_name":"FI","long_name":"Finland","types":["country","political"]},{"short_name":"98900","long_name":"98900","types":["postal_code"]},{"short_name":"111","long_name":"111","types":["street_number"]},{"long_name":"Hautajärventie","types":["route"],"short_name":"Hautajärventie"},{"long_name":"Salla","types":["locality","political"],"short_name":"Salla"},{"long_name":"Salla","types":["administrative_area_level_3","political"],"short_name":"Salla"},{"short_name":"Itä-Lappi","long_name":"Itä-Lappi","types":["administrative_area_level_2","political"]},{"short_name":"Lappi","long_name":"Lappi","types":["administrative_area_level_1","political"]},{"short_name":"FI","long_name":"Finland","types":["country","political"]},{"long_name":"98900","types":["postal_code"],"short_name":"98900"},{"types":["latitude"],"long_name":66.74052139999999,"short_name":66.74052139999999},{"types":["longitude"],"long_name":28.8211315,"short_name":28.8211315},{"types":["debug_info","cache_load_result"],"long_name":"hit","short_name":"hit"}]</v>
      </c>
      <c r="K229" s="9" t="b">
        <f t="shared" ref="K229:K230" si="330">NOT(AND(NOT(_xlfn.ISFORMULA(P229)),AND(NOT(_xlfn.ISFORMULA(Q229)),AND(NOT(_xlfn.ISFORMULA(R229)),AND(NOT(_xlfn.ISFORMULA(S229)),AND(NOT(_xlfn.ISFORMULA(T229)),AND(NOT(_xlfn.ISFORMULA(U229)),AND(NOT(_xlfn.ISFORMULA(V229)),AND(NOT(_xlfn.ISFORMULA(N229)),NOT(_xlfn.ISFORMULA(O229)))))))))))</f>
        <v>0</v>
      </c>
      <c r="L229" s="8" t="b">
        <f t="shared" si="4"/>
        <v>1</v>
      </c>
      <c r="M229" s="10" t="b">
        <v>1</v>
      </c>
      <c r="N229" s="10">
        <v>66.7396305</v>
      </c>
      <c r="O229" s="10">
        <v>28.8236618</v>
      </c>
      <c r="P229" s="10" t="s">
        <v>878</v>
      </c>
      <c r="Q229" s="10" t="s">
        <v>55</v>
      </c>
      <c r="R229" s="10">
        <v>98900.0</v>
      </c>
      <c r="S229" s="10" t="s">
        <v>279</v>
      </c>
      <c r="T229" s="19" t="s">
        <v>56</v>
      </c>
      <c r="U229" s="20" t="s">
        <v>56</v>
      </c>
      <c r="V229" s="18">
        <v>4391.06</v>
      </c>
      <c r="X229" s="4" t="str">
        <f t="shared" si="319"/>
        <v>N/A</v>
      </c>
      <c r="Y229" s="4"/>
      <c r="Z229" s="4" t="s">
        <v>38</v>
      </c>
    </row>
    <row r="230">
      <c r="A230" s="3" t="s">
        <v>695</v>
      </c>
      <c r="B230" s="4" t="s">
        <v>879</v>
      </c>
      <c r="C230" s="4"/>
      <c r="D230" s="4"/>
      <c r="E230" s="3" t="s">
        <v>43</v>
      </c>
      <c r="F230" s="4" t="s">
        <v>880</v>
      </c>
      <c r="G230" s="6" t="str">
        <f t="shared" si="1"/>
        <v>Link</v>
      </c>
      <c r="H230" s="3" t="s">
        <v>219</v>
      </c>
      <c r="I230" s="8" t="str">
        <f t="shared" si="2"/>
        <v>{"address_components":[{"long_name":"20540","types":["postal_code"],"short_name":"20540"},{"types":["locality","political"],"long_name":"Turku","short_name":"Turku"},{"short_name":"Turku","long_name":"Turku","types":["administrative_area_level_3","political"]},{"long_name":"Turku","short_name":"Turku","types":["administrative_area_level_2","political"]},{"long_name":"Southwest Finland","types":["administrative_area_level_1","political"],"short_name":"Southwest Finland"},{"types":["country","political"],"long_name":"Finland","short_name":"FI"},{"long_name":"132","short_name":"132","types":["street_number"]},{"long_name":"Hämeen valtatie","short_name":"Hämeen valtatie","types":["route"]},{"long_name":"Turku","short_name":"Turku","types":["locality","political"]},{"types":["administrative_area_level_3","political"],"long_name":"Turku","short_name":"Turku"},{"long_name":"Turku","short_name":"Turku","types":["administrative_area_level_2","political"]},{"short_name":"Varsinais-Suomi","long_name":"Varsinais-Suomi","types":["administrative_area_level_1","political"]},{"types":["country","political"],"long_name":"Finland","short_name":"FI"},{"short_name":"20540","types":["postal_code"],"long_name":"20540"},{"types":["latitude"],"long_name":60.4635633,"short_name":60.4635633},{"types":["longitude"],"long_name":22.3239244,"short_name":22.3239244}]}</v>
      </c>
      <c r="J230" s="8" t="str">
        <f t="shared" si="3"/>
        <v>[{"long_name":"20540","types":["postal_code"],"short_name":"20540"},{"types":["locality","political"],"long_name":"Turku","short_name":"Turku"},{"short_name":"Turku","long_name":"Turku","types":["administrative_area_level_3","political"]},{"long_name":"Turku","short_name":"Turku","types":["administrative_area_level_2","political"]},{"long_name":"Southwest Finland","types":["administrative_area_level_1","political"],"short_name":"Southwest Finland"},{"types":["country","political"],"long_name":"Finland","short_name":"FI"},{"long_name":"132","short_name":"132","types":["street_number"]},{"long_name":"Hämeen valtatie","short_name":"Hämeen valtatie","types":["route"]},{"long_name":"Turku","short_name":"Turku","types":["locality","political"]},{"types":["administrative_area_level_3","political"],"long_name":"Turku","short_name":"Turku"},{"long_name":"Turku","short_name":"Turku","types":["administrative_area_level_2","political"]},{"short_name":"Varsinais-Suomi","long_name":"Varsinais-Suomi","types":["administrative_area_level_1","political"]},{"types":["country","political"],"long_name":"Finland","short_name":"FI"},{"short_name":"20540","types":["postal_code"],"long_name":"20540"},{"types":["latitude"],"long_name":60.4635633,"short_name":60.4635633},{"types":["longitude"],"long_name":22.3239244,"short_name":22.3239244},{"types":["debug_info","cache_load_result"],"long_name":"hit","short_name":"hit"}]</v>
      </c>
      <c r="K230" s="9" t="b">
        <f t="shared" si="330"/>
        <v>0</v>
      </c>
      <c r="L230" s="8" t="b">
        <f t="shared" si="4"/>
        <v>1</v>
      </c>
      <c r="M230" s="15" t="b">
        <v>1</v>
      </c>
      <c r="N230" s="10">
        <v>60.4635633</v>
      </c>
      <c r="O230" s="10">
        <v>22.3239244</v>
      </c>
      <c r="P230" s="10" t="s">
        <v>881</v>
      </c>
      <c r="Q230" s="10" t="s">
        <v>55</v>
      </c>
      <c r="R230" s="10">
        <v>20540.0</v>
      </c>
      <c r="S230" s="10" t="s">
        <v>279</v>
      </c>
      <c r="T230" s="19" t="s">
        <v>56</v>
      </c>
      <c r="U230" s="20" t="s">
        <v>56</v>
      </c>
      <c r="V230" s="18">
        <v>4711.5</v>
      </c>
      <c r="X230" s="4" t="str">
        <f t="shared" si="319"/>
        <v>N/A</v>
      </c>
      <c r="Y230" s="4"/>
      <c r="Z230" s="4" t="s">
        <v>38</v>
      </c>
    </row>
    <row r="231" hidden="1">
      <c r="A231" s="3" t="s">
        <v>695</v>
      </c>
      <c r="B231" s="4" t="s">
        <v>882</v>
      </c>
      <c r="D231" s="4" t="s">
        <v>883</v>
      </c>
      <c r="E231" s="5"/>
      <c r="F231" s="4" t="s">
        <v>882</v>
      </c>
      <c r="G231" s="6" t="str">
        <f t="shared" si="1"/>
        <v>Link</v>
      </c>
      <c r="H231" s="3" t="s">
        <v>45</v>
      </c>
      <c r="I231" s="7" t="str">
        <f t="shared" si="2"/>
        <v>{"address_components":[{"types":["colloquial_area","political"],"long_name":"Cahaba","short_name":"Cahaba"},{"types":["administrative_area_level_2","political"],"short_name":"Dallas County","long_name":"Dallas County"},{"long_name":"Alabama","short_name":"AL","types":["administrative_area_level_1","political"]},{"types":["country","political"],"short_name":"US","long_name":"United States"},{"long_name":"36767","short_name":"36767","types":["postal_code"]},{"long_name":"280","types":["street_number"],"short_name":"280"},{"long_name":"Oak Street","types":["route"],"short_name":"Oak St"},{"long_name":"Orrville","short_name":"Orrville","types":["locality","political"]},{"types":["administrative_area_level_2","political"],"long_name":"Dallas County","short_name":"Dallas County"},{"long_name":"Alabama","short_name":"AL","types":["administrative_area_level_1","political"]},{"types":["country","political"],"short_name":"US","long_name":"United States"},{"long_name":"36767","types":["postal_code"],"short_name":"36767"},{"types":["latitude"],"long_name":32.3168056,"short_name":32.3168056},{"types":["longitude"],"long_name":-87.10137929999999,"short_name":-87.10137929999999}],"distance_from":{"mi":{"driving":{"2116 4th Ave, Seattle, WA, 98121":2595.8399095281297},"flying":{"2116 4th Ave, Seattle, WA, 98121":2118.743087228305}}},"duration_from":{"days":{"driving":{"2116 4th Ave, Seattle, WA, 98121":1.6230555555555555}}}}</v>
      </c>
      <c r="J231" s="8" t="str">
        <f t="shared" si="3"/>
        <v>[{"types":["colloquial_area","political"],"long_name":"Cahaba","short_name":"Cahaba"},{"types":["administrative_area_level_2","political"],"short_name":"Dallas County","long_name":"Dallas County"},{"long_name":"Alabama","short_name":"AL","types":["administrative_area_level_1","political"]},{"types":["country","political"],"short_name":"US","long_name":"United States"},{"long_name":"36767","short_name":"36767","types":["postal_code"]},{"long_name":"280","types":["street_number"],"short_name":"280"},{"long_name":"Oak Street","types":["route"],"short_name":"Oak St"},{"long_name":"Orrville","short_name":"Orrville","types":["locality","political"]},{"types":["administrative_area_level_2","political"],"long_name":"Dallas County","short_name":"Dallas County"},{"long_name":"Alabama","short_name":"AL","types":["administrative_area_level_1","political"]},{"types":["country","political"],"short_name":"US","long_name":"United States"},{"long_name":"36767","types":["postal_code"],"short_name":"36767"},{"types":["latitude"],"long_name":32.3168056,"short_name":32.3168056},{"types":["longitude"],"long_name":-87.10137929999999,"short_name":-87.10137929999999},{"types":["debug_info","cache_load_result"],"long_name":"hit","short_name":"hit"}]</v>
      </c>
      <c r="K231" s="9" t="b">
        <f t="shared" ref="K231:K232" si="331">NOT(AND(NOT(_xlfn.ISFORMULA(P231)),AND(NOT(_xlfn.ISFORMULA(Q231)),AND(NOT(_xlfn.ISFORMULA(R231)),AND(NOT(_xlfn.ISFORMULA(S231)),AND(NOT(_xlfn.ISFORMULA(T231)),AND(NOT(_xlfn.ISFORMULA(U231)),AND(NOT(_xlfn.ISFORMULA(V231))))))))))</f>
        <v>1</v>
      </c>
      <c r="L231" s="8" t="b">
        <f t="shared" si="4"/>
        <v>0</v>
      </c>
      <c r="M231" s="10" t="b">
        <v>1</v>
      </c>
      <c r="N231" s="8">
        <f t="shared" ref="N231:N232" si="332">GOOGLEMAPS_GET_ADDRESS_LATITUDE(F231,true)</f>
        <v>32.3168056</v>
      </c>
      <c r="O231" s="8">
        <f t="shared" ref="O231:O232" si="333">GOOGLEMAPS_GET_ADDRESS_LONGITUDE(F231,true)</f>
        <v>-87.1013793</v>
      </c>
      <c r="P231" s="8" t="str">
        <f t="shared" ref="P231:P232" si="334">GOOGLEMAPS_GET_ADDRESS_CITY(F231,true,false)</f>
        <v>Orrville</v>
      </c>
      <c r="Q231" s="8" t="str">
        <f t="shared" ref="Q231:Q232" si="335">GOOGLEMAPS_GET_ADDRESS_STATE(F231,true,false)</f>
        <v>Alabama</v>
      </c>
      <c r="R231" s="8" t="str">
        <f t="shared" ref="R231:R232" si="336">GOOGLEMAPS_GET_ADDRESS_POSTAL_CODE(F231,false,false)</f>
        <v>36767</v>
      </c>
      <c r="S231" s="8" t="str">
        <f t="shared" ref="S231:S232" si="337">GOOGLEMAPS_GET_ADDRESS_COUNTRY(F231,true,false)</f>
        <v>United States</v>
      </c>
      <c r="T231" s="11">
        <f t="shared" ref="T231:T232" si="338">IFERROR(GOOGLEMAPS_DISTANCE("2116 4th Ave, Seattle, WA, 98121", F231, "driving")+0,"Not Driveable")</f>
        <v>2595.83991</v>
      </c>
      <c r="U231" s="12">
        <f t="shared" ref="U231:U232" si="339">iferror(GOOGLEMAPS_DURATION("2116 4th Ave, Seattle, WA, 98121", F231, "driving")+0,"Not Driveable")</f>
        <v>1.623055556</v>
      </c>
      <c r="V231" s="13">
        <f t="shared" ref="V231:V232" si="340">GOOGLEMAPS_DISTANCE("2116 4th Ave, Seattle, WA, 98121", F231, "flying")+0</f>
        <v>2118.743087</v>
      </c>
      <c r="X231" s="4" t="str">
        <f t="shared" si="319"/>
        <v>N/A</v>
      </c>
      <c r="Y231" s="4"/>
      <c r="Z231" s="4" t="s">
        <v>38</v>
      </c>
    </row>
    <row r="232">
      <c r="A232" s="3" t="s">
        <v>695</v>
      </c>
      <c r="B232" s="4" t="s">
        <v>884</v>
      </c>
      <c r="C232" s="4"/>
      <c r="D232" s="4"/>
      <c r="E232" s="5"/>
      <c r="F232" s="4" t="s">
        <v>884</v>
      </c>
      <c r="G232" s="6" t="str">
        <f t="shared" si="1"/>
        <v>Link</v>
      </c>
      <c r="H232" s="3" t="s">
        <v>45</v>
      </c>
      <c r="I232" s="8" t="str">
        <f t="shared" si="2"/>
        <v>{"address_components":[{"long_name":"Doel","short_name":"Doel","types":["political","sublocality","sublocality_level_1"]},{"long_name":"Beveren-Kruibeke-Zwijndrecht","short_name":"Beveren-Kruibeke-Zwijndrecht","types":["locality","political"]},{"long_name":"East Flanders","short_name":"OV","types":["administrative_area_level_2","political"]},{"long_name":"Flanders","short_name":"Flanders","types":["administrative_area_level_1","political"]},{"short_name":"BE","types":["country","political"],"long_name":"Belgium"},{"long_name":"20","short_name":"20","types":["street_number"]},{"long_name":"Pastorijstraat","types":["route"],"short_name":"Pastorijstraat"},{"types":["political","sublocality","sublocality_level_1"],"long_name":"Doel","short_name":"Doel"},{"short_name":"Beveren-Kruibeke-Zwijndrecht","types":["locality","political"],"long_name":"Beveren-Kruibeke-Zwijndrecht"},{"short_name":"OV","types":["administrative_area_level_2","political"],"long_name":"Oost-Vlaanderen"},{"long_name":"Vlaanderen","short_name":"Vlaanderen","types":["administrative_area_level_1","political"]},{"long_name":"Belgium","short_name":"BE","types":["country","political"]},{"long_name":"9130","short_name":"9130","types":["postal_code"]},{"types":["latitude"],"long_name":51.31059759999999,"short_name":51.31059759999999},{"types":["longitude"],"long_name":4.264974899999999,"short_name":4.264974899999999}],"distance_from":{"mi":{"flying":{"2116 4th Ave, Seattle, WA, 98121":4906.974908968894},"driving":{"2116 4th Ave, Seattle, WA, 98121":"GOOGLE_MAPS_ERROR_CACHED - No route found!"}}},"duration_from":{"days":{"driving":{"2116 4th Ave, Seattle, WA, 98121":"GOOGLE_MAPS_ERROR_CACHED - No route found!"}}}}</v>
      </c>
      <c r="J232" s="8" t="str">
        <f t="shared" si="3"/>
        <v>[{"long_name":"Doel","short_name":"Doel","types":["political","sublocality","sublocality_level_1"]},{"long_name":"Beveren-Kruibeke-Zwijndrecht","short_name":"Beveren-Kruibeke-Zwijndrecht","types":["locality","political"]},{"long_name":"East Flanders","short_name":"OV","types":["administrative_area_level_2","political"]},{"long_name":"Flanders","short_name":"Flanders","types":["administrative_area_level_1","political"]},{"short_name":"BE","types":["country","political"],"long_name":"Belgium"},{"long_name":"20","short_name":"20","types":["street_number"]},{"long_name":"Pastorijstraat","types":["route"],"short_name":"Pastorijstraat"},{"types":["political","sublocality","sublocality_level_1"],"long_name":"Doel","short_name":"Doel"},{"short_name":"Beveren-Kruibeke-Zwijndrecht","types":["locality","political"],"long_name":"Beveren-Kruibeke-Zwijndrecht"},{"short_name":"OV","types":["administrative_area_level_2","political"],"long_name":"Oost-Vlaanderen"},{"long_name":"Vlaanderen","short_name":"Vlaanderen","types":["administrative_area_level_1","political"]},{"long_name":"Belgium","short_name":"BE","types":["country","political"]},{"long_name":"9130","short_name":"9130","types":["postal_code"]},{"types":["latitude"],"long_name":51.31059759999999,"short_name":51.31059759999999},{"types":["longitude"],"long_name":4.264974899999999,"short_name":4.264974899999999},{"types":["debug_info","cache_load_result"],"long_name":"hit","short_name":"hit"}]</v>
      </c>
      <c r="K232" s="9" t="b">
        <f t="shared" si="331"/>
        <v>1</v>
      </c>
      <c r="L232" s="8" t="b">
        <f t="shared" si="4"/>
        <v>0</v>
      </c>
      <c r="M232" s="10" t="b">
        <v>1</v>
      </c>
      <c r="N232" s="8">
        <f t="shared" si="332"/>
        <v>51.3105976</v>
      </c>
      <c r="O232" s="8">
        <f t="shared" si="333"/>
        <v>4.2649749</v>
      </c>
      <c r="P232" s="8" t="str">
        <f t="shared" si="334"/>
        <v>Beveren-Kruibeke-Zwijndrecht</v>
      </c>
      <c r="Q232" s="8" t="str">
        <f t="shared" si="335"/>
        <v>Flanders</v>
      </c>
      <c r="R232" s="8" t="str">
        <f t="shared" si="336"/>
        <v>9130</v>
      </c>
      <c r="S232" s="8" t="str">
        <f t="shared" si="337"/>
        <v>Belgium</v>
      </c>
      <c r="T232" s="11" t="str">
        <f t="shared" si="338"/>
        <v>Not Driveable</v>
      </c>
      <c r="U232" s="12" t="str">
        <f t="shared" si="339"/>
        <v>Not Driveable</v>
      </c>
      <c r="V232" s="13">
        <f t="shared" si="340"/>
        <v>4906.974909</v>
      </c>
      <c r="X232" s="4" t="str">
        <f t="shared" si="319"/>
        <v>N/A</v>
      </c>
      <c r="Y232" s="4"/>
      <c r="Z232" s="4" t="s">
        <v>38</v>
      </c>
      <c r="AF232" s="4" t="s">
        <v>885</v>
      </c>
    </row>
    <row r="233" hidden="1">
      <c r="A233" s="3" t="s">
        <v>695</v>
      </c>
      <c r="B233" s="4" t="s">
        <v>886</v>
      </c>
      <c r="C233" s="4" t="s">
        <v>887</v>
      </c>
      <c r="D233" s="4"/>
      <c r="E233" s="5"/>
      <c r="F233" s="4" t="s">
        <v>888</v>
      </c>
      <c r="G233" s="6" t="str">
        <f t="shared" si="1"/>
        <v>Link</v>
      </c>
      <c r="H233" s="3" t="s">
        <v>120</v>
      </c>
      <c r="I233" s="8" t="str">
        <f t="shared" si="2"/>
        <v>{"address_components":[{"short_name":"Missile Site Park","types":["establishment","park","point_of_interest","tourist_attraction"],"long_name":"Missile Site Park"},{"short_name":"10531","long_name":"10531","types":["street_number"]},{"short_name":"CO-257 Spur","types":["route"],"long_name":"Colorado 257 Spur"},{"long_name":"Greeley","types":["locality","political"],"short_name":"Greeley"},{"types":["administrative_area_level_2","political"],"long_name":"Weld County","short_name":"Weld County"},{"types":["administrative_area_level_1","political"],"long_name":"Colorado","short_name":"CO"},{"long_name":"United States","short_name":"US","types":["country","political"]},{"short_name":"80634","long_name":"80634","types":["postal_code"]},{"long_name":"10611","short_name":"10611","types":["street_number"]},{"short_name":"257 Spur Hwy","long_name":"257 Spur Highway","types":["route"]},{"long_name":"Greeley","short_name":"Greeley","types":["locality","political"]},{"long_name":"Weld County","short_name":"Weld County","types":["administrative_area_level_2","political"]},{"long_name":"Colorado","types":["administrative_area_level_1","political"],"short_name":"CO"},{"short_name":"US","types":["country","political"],"long_name":"United States"},{"long_name":"80631","types":["postal_code"],"short_name":"80631"},{"types":["latitude"],"long_name":40.4286643,"short_name":40.4286643},{"types":["longitude"],"long_name":-104.860834,"short_name":-104.860834}]}</v>
      </c>
      <c r="J233" s="8" t="str">
        <f t="shared" si="3"/>
        <v>[{"short_name":"Missile Site Park","types":["establishment","park","point_of_interest","tourist_attraction"],"long_name":"Missile Site Park"},{"short_name":"10531","long_name":"10531","types":["street_number"]},{"short_name":"CO-257 Spur","types":["route"],"long_name":"Colorado 257 Spur"},{"long_name":"Greeley","types":["locality","political"],"short_name":"Greeley"},{"types":["administrative_area_level_2","political"],"long_name":"Weld County","short_name":"Weld County"},{"types":["administrative_area_level_1","political"],"long_name":"Colorado","short_name":"CO"},{"long_name":"United States","short_name":"US","types":["country","political"]},{"short_name":"80634","long_name":"80634","types":["postal_code"]},{"long_name":"10611","short_name":"10611","types":["street_number"]},{"short_name":"257 Spur Hwy","long_name":"257 Spur Highway","types":["route"]},{"long_name":"Greeley","short_name":"Greeley","types":["locality","political"]},{"long_name":"Weld County","short_name":"Weld County","types":["administrative_area_level_2","political"]},{"long_name":"Colorado","types":["administrative_area_level_1","political"],"short_name":"CO"},{"short_name":"US","types":["country","political"],"long_name":"United States"},{"long_name":"80631","types":["postal_code"],"short_name":"80631"},{"types":["latitude"],"long_name":40.4286643,"short_name":40.4286643},{"types":["longitude"],"long_name":-104.860834,"short_name":-104.860834},{"types":["debug_info","cache_load_result"],"long_name":"hit","short_name":"hit"}]</v>
      </c>
      <c r="K233" s="9" t="b">
        <f t="shared" ref="K233:K237" si="341">NOT(AND(NOT(_xlfn.ISFORMULA(P233)),AND(NOT(_xlfn.ISFORMULA(Q233)),AND(NOT(_xlfn.ISFORMULA(R233)),AND(NOT(_xlfn.ISFORMULA(S233)),AND(NOT(_xlfn.ISFORMULA(T233)),AND(NOT(_xlfn.ISFORMULA(U233)),AND(NOT(_xlfn.ISFORMULA(V233)),AND(NOT(_xlfn.ISFORMULA(N233)),NOT(_xlfn.ISFORMULA(O233)))))))))))</f>
        <v>0</v>
      </c>
      <c r="L233" s="8" t="b">
        <f t="shared" si="4"/>
        <v>1</v>
      </c>
      <c r="M233" s="10" t="b">
        <v>1</v>
      </c>
      <c r="N233" s="10">
        <v>40.4298096</v>
      </c>
      <c r="O233" s="10">
        <v>-104.8621027</v>
      </c>
      <c r="P233" s="10" t="s">
        <v>889</v>
      </c>
      <c r="Q233" s="10" t="s">
        <v>840</v>
      </c>
      <c r="R233" s="10">
        <v>80634.0</v>
      </c>
      <c r="S233" s="10" t="s">
        <v>47</v>
      </c>
      <c r="T233" s="19">
        <v>1269.0</v>
      </c>
      <c r="U233" s="32">
        <v>0.8017708333333333</v>
      </c>
      <c r="V233" s="18">
        <v>997.0</v>
      </c>
      <c r="W233" s="4"/>
      <c r="X233" s="4" t="str">
        <f t="shared" si="319"/>
        <v>N/A</v>
      </c>
      <c r="Y233" s="4"/>
      <c r="Z233" s="4" t="s">
        <v>38</v>
      </c>
      <c r="AB233" s="14" t="s">
        <v>890</v>
      </c>
      <c r="AF233" s="4" t="s">
        <v>891</v>
      </c>
    </row>
    <row r="234" hidden="1">
      <c r="A234" s="34" t="s">
        <v>695</v>
      </c>
      <c r="B234" s="4" t="s">
        <v>892</v>
      </c>
      <c r="C234" s="4"/>
      <c r="D234" s="4"/>
      <c r="E234" s="5"/>
      <c r="F234" s="4" t="s">
        <v>893</v>
      </c>
      <c r="G234" s="6" t="str">
        <f t="shared" si="1"/>
        <v>Link</v>
      </c>
      <c r="H234" s="3" t="s">
        <v>120</v>
      </c>
      <c r="I234" s="8" t="str">
        <f t="shared" si="2"/>
        <v>{"address_components":[{"long_name":"GX6V+J9","types":["plus_code"],"short_name":"GX6V+J9"},{"long_name":"Arco","types":["locality","political"],"short_name":"Arco"},{"types":["administrative_area_level_2","political"],"short_name":"Butte County","long_name":"Butte County"},{"short_name":"ID","long_name":"Idaho","types":["administrative_area_level_1","political"]},{"short_name":"US","types":["country","political"],"long_name":"United States"},{"long_name":"83213","short_name":"83213","types":["postal_code"]},{"long_name":"GX6V+J9","types":["plus_code"],"short_name":"GX6V+J9"},{"types":["locality","political"],"short_name":"Arco","long_name":"Arco"},{"long_name":"Butte County","short_name":"Butte County","types":["administrative_area_level_2","political"]},{"short_name":"ID","types":["administrative_area_level_1","political"],"long_name":"Idaho"},{"short_name":"US","long_name":"United States","types":["country","political"]},{"short_name":"83213","types":["postal_code"],"long_name":"83213"},{"types":["latitude"],"long_name":43.5115625,"short_name":43.5115625},{"types":["longitude"],"long_name":-113.0065625,"short_name":-113.0065625}]}</v>
      </c>
      <c r="J234" s="8" t="str">
        <f t="shared" si="3"/>
        <v>[{"long_name":"GX6V+J9","types":["plus_code"],"short_name":"GX6V+J9"},{"long_name":"Arco","types":["locality","political"],"short_name":"Arco"},{"types":["administrative_area_level_2","political"],"short_name":"Butte County","long_name":"Butte County"},{"short_name":"ID","long_name":"Idaho","types":["administrative_area_level_1","political"]},{"short_name":"US","types":["country","political"],"long_name":"United States"},{"long_name":"83213","short_name":"83213","types":["postal_code"]},{"long_name":"GX6V+J9","types":["plus_code"],"short_name":"GX6V+J9"},{"types":["locality","political"],"short_name":"Arco","long_name":"Arco"},{"long_name":"Butte County","short_name":"Butte County","types":["administrative_area_level_2","political"]},{"short_name":"ID","types":["administrative_area_level_1","political"],"long_name":"Idaho"},{"short_name":"US","long_name":"United States","types":["country","political"]},{"short_name":"83213","types":["postal_code"],"long_name":"83213"},{"types":["latitude"],"long_name":43.5115625,"short_name":43.5115625},{"types":["longitude"],"long_name":-113.0065625,"short_name":-113.0065625},{"types":["debug_info","cache_load_result"],"long_name":"hit","short_name":"hit"}]</v>
      </c>
      <c r="K234" s="9" t="b">
        <f t="shared" si="341"/>
        <v>0</v>
      </c>
      <c r="L234" s="8" t="b">
        <f t="shared" si="4"/>
        <v>1</v>
      </c>
      <c r="M234" s="15" t="b">
        <v>1</v>
      </c>
      <c r="N234" s="10">
        <v>43.511514</v>
      </c>
      <c r="O234" s="10">
        <v>-113.006553</v>
      </c>
      <c r="P234" s="10" t="s">
        <v>894</v>
      </c>
      <c r="Q234" s="10" t="s">
        <v>555</v>
      </c>
      <c r="R234" s="10">
        <v>83213.0</v>
      </c>
      <c r="S234" s="10" t="s">
        <v>47</v>
      </c>
      <c r="T234" s="19">
        <v>701.0</v>
      </c>
      <c r="U234" s="32">
        <v>0.4648611111111111</v>
      </c>
      <c r="V234" s="18">
        <v>532.63</v>
      </c>
      <c r="X234" s="4" t="str">
        <f t="shared" si="319"/>
        <v>N/A</v>
      </c>
      <c r="Z234" s="4" t="s">
        <v>38</v>
      </c>
      <c r="AE234" s="4" t="s">
        <v>895</v>
      </c>
    </row>
    <row r="235">
      <c r="A235" s="3" t="s">
        <v>695</v>
      </c>
      <c r="B235" s="4" t="s">
        <v>896</v>
      </c>
      <c r="C235" s="4"/>
      <c r="D235" s="4"/>
      <c r="E235" s="3" t="s">
        <v>43</v>
      </c>
      <c r="F235" s="4" t="s">
        <v>897</v>
      </c>
      <c r="G235" s="6" t="str">
        <f t="shared" si="1"/>
        <v>Link</v>
      </c>
      <c r="H235" s="3" t="s">
        <v>106</v>
      </c>
      <c r="I235" s="8" t="str">
        <f t="shared" si="2"/>
        <v>{"address_components":[{"long_name":"Puerto Maldonado","short_name":"Puerto Maldonado","types":["locality","political"]},{"short_name":"Tambopata","types":["administrative_area_level_2","political"],"long_name":"Tambopata"},{"long_name":"Madre de Dios","short_name":"Madre de Dios","types":["administrative_area_level_1","political"]},{"long_name":"Peru","short_name":"PE","types":["country","political"]},{"long_name":"Carretera Puerto Maldonado, Quince Mil, lote A1, Sublote A1, A2","short_name":"","types":[]},{"short_name":"PE","types":["country","political"],"long_name":"Peru"},{"long_name":"A.h 8 de Octubre","short_name":"A.h 8 de Octubre","types":["political","sublocality","sublocality_level_1"]},{"short_name":"Puerto Maldonado","types":["locality","political"],"long_name":"Puerto Maldonado"},{"short_name":"Tambopata","types":["administrative_area_level_2","political"],"long_name":"Tambopata"},{"long_name":"Madre de Dios","short_name":"Madre de Dios","types":["administrative_area_level_1","political"]},{"short_name":"17001","types":["postal_code"],"long_name":"17001"},{"types":["latitude"],"long_name":-12.5808749,"short_name":-12.5808749},{"types":["longitude"],"long_name":-69.2032425,"short_name":-69.2032425}]}</v>
      </c>
      <c r="J235" s="8" t="str">
        <f t="shared" si="3"/>
        <v>[{"long_name":"Puerto Maldonado","short_name":"Puerto Maldonado","types":["locality","political"]},{"short_name":"Tambopata","types":["administrative_area_level_2","political"],"long_name":"Tambopata"},{"long_name":"Madre de Dios","short_name":"Madre de Dios","types":["administrative_area_level_1","political"]},{"long_name":"Peru","short_name":"PE","types":["country","political"]},{"long_name":"Carretera Puerto Maldonado, Quince Mil, lote A1, Sublote A1, A2","short_name":"","types":[]},{"short_name":"PE","types":["country","political"],"long_name":"Peru"},{"long_name":"A.h 8 de Octubre","short_name":"A.h 8 de Octubre","types":["political","sublocality","sublocality_level_1"]},{"short_name":"Puerto Maldonado","types":["locality","political"],"long_name":"Puerto Maldonado"},{"short_name":"Tambopata","types":["administrative_area_level_2","political"],"long_name":"Tambopata"},{"long_name":"Madre de Dios","short_name":"Madre de Dios","types":["administrative_area_level_1","political"]},{"short_name":"17001","types":["postal_code"],"long_name":"17001"},{"types":["latitude"],"long_name":-12.5808749,"short_name":-12.5808749},{"types":["longitude"],"long_name":-69.2032425,"short_name":-69.2032425},{"types":["debug_info","cache_load_result"],"long_name":"hit","short_name":"hit"}]</v>
      </c>
      <c r="K235" s="9" t="b">
        <f t="shared" si="341"/>
        <v>0</v>
      </c>
      <c r="L235" s="8" t="b">
        <f t="shared" si="4"/>
        <v>1</v>
      </c>
      <c r="M235" s="10" t="b">
        <v>1</v>
      </c>
      <c r="N235" s="10">
        <v>-12.5808749</v>
      </c>
      <c r="O235" s="10">
        <v>-69.2032425</v>
      </c>
      <c r="P235" s="10" t="s">
        <v>898</v>
      </c>
      <c r="Q235" s="10" t="s">
        <v>899</v>
      </c>
      <c r="R235" s="10">
        <v>17001.0</v>
      </c>
      <c r="S235" s="10" t="s">
        <v>354</v>
      </c>
      <c r="T235" s="19" t="s">
        <v>56</v>
      </c>
      <c r="U235" s="20" t="s">
        <v>56</v>
      </c>
      <c r="V235" s="18">
        <v>5284.22</v>
      </c>
      <c r="W235" s="4"/>
      <c r="X235" s="4" t="str">
        <f t="shared" si="319"/>
        <v>N/A</v>
      </c>
      <c r="Y235" s="4"/>
      <c r="Z235" s="4" t="s">
        <v>38</v>
      </c>
    </row>
    <row r="236">
      <c r="A236" s="3" t="s">
        <v>695</v>
      </c>
      <c r="B236" s="4" t="s">
        <v>900</v>
      </c>
      <c r="C236" s="4"/>
      <c r="D236" s="4"/>
      <c r="E236" s="5"/>
      <c r="F236" s="4" t="s">
        <v>901</v>
      </c>
      <c r="G236" s="6" t="str">
        <f t="shared" si="1"/>
        <v>Link</v>
      </c>
      <c r="H236" s="3" t="s">
        <v>45</v>
      </c>
      <c r="I236" s="8" t="str">
        <f t="shared" si="2"/>
        <v>{"address_components":[{"short_name":"Belchite","long_name":"Belchite","types":["locality","political"]},{"types":["administrative_area_level_2","political"],"long_name":"Zaragoza","short_name":"Z"},{"short_name":"AR","types":["administrative_area_level_1","political"],"long_name":"Aragon"},{"short_name":"ES","types":["country","political"],"long_name":"Spain"},{"long_name":"50130","types":["postal_code"],"short_name":"50130"},{"long_name":"1","short_name":"1","types":["street_number"]},{"long_name":"Calle Portal de la Villa","short_name":"C. Portal de la Villa","types":["route"]},{"short_name":"Belchite","long_name":"Belchite","types":["locality","political"]},{"short_name":"Z","long_name":"Zaragoza","types":["administrative_area_level_2","political"]},{"short_name":"AR","types":["administrative_area_level_1","political"],"long_name":"Aragón"},{"long_name":"Spain","short_name":"ES","types":["country","political"]},{"long_name":"50130","short_name":"50130","types":["postal_code"]},{"types":["latitude"],"long_name":41.3047407,"short_name":41.3047407},{"types":["longitude"],"long_name":-0.7544692000000001,"short_name":-0.7544692000000001}]}</v>
      </c>
      <c r="J236" s="8" t="str">
        <f t="shared" si="3"/>
        <v>[{"short_name":"Belchite","long_name":"Belchite","types":["locality","political"]},{"types":["administrative_area_level_2","political"],"long_name":"Zaragoza","short_name":"Z"},{"short_name":"AR","types":["administrative_area_level_1","political"],"long_name":"Aragon"},{"short_name":"ES","types":["country","political"],"long_name":"Spain"},{"long_name":"50130","types":["postal_code"],"short_name":"50130"},{"long_name":"1","short_name":"1","types":["street_number"]},{"long_name":"Calle Portal de la Villa","short_name":"C. Portal de la Villa","types":["route"]},{"short_name":"Belchite","long_name":"Belchite","types":["locality","political"]},{"short_name":"Z","long_name":"Zaragoza","types":["administrative_area_level_2","political"]},{"short_name":"AR","types":["administrative_area_level_1","political"],"long_name":"Aragón"},{"long_name":"Spain","short_name":"ES","types":["country","political"]},{"long_name":"50130","short_name":"50130","types":["postal_code"]},{"types":["latitude"],"long_name":41.3047407,"short_name":41.3047407},{"types":["longitude"],"long_name":-0.7544692000000001,"short_name":-0.7544692000000001},{"types":["debug_info","cache_load_result"],"long_name":"hit","short_name":"hit"}]</v>
      </c>
      <c r="K236" s="9" t="b">
        <f t="shared" si="341"/>
        <v>0</v>
      </c>
      <c r="L236" s="8" t="b">
        <f t="shared" si="4"/>
        <v>1</v>
      </c>
      <c r="M236" s="10" t="b">
        <v>1</v>
      </c>
      <c r="N236" s="10">
        <v>41.3047407</v>
      </c>
      <c r="O236" s="10">
        <v>-0.7544692</v>
      </c>
      <c r="P236" s="10" t="s">
        <v>902</v>
      </c>
      <c r="Q236" s="10" t="s">
        <v>606</v>
      </c>
      <c r="R236" s="10">
        <v>50130.0</v>
      </c>
      <c r="S236" s="10" t="s">
        <v>597</v>
      </c>
      <c r="T236" s="19" t="s">
        <v>56</v>
      </c>
      <c r="U236" s="20" t="s">
        <v>56</v>
      </c>
      <c r="V236" s="18">
        <v>5331.02</v>
      </c>
      <c r="X236" s="4" t="str">
        <f t="shared" si="319"/>
        <v>N/A</v>
      </c>
      <c r="Y236" s="4"/>
      <c r="Z236" s="4" t="s">
        <v>38</v>
      </c>
      <c r="AF236" s="4" t="s">
        <v>903</v>
      </c>
    </row>
    <row r="237" hidden="1">
      <c r="A237" s="34" t="s">
        <v>695</v>
      </c>
      <c r="B237" s="4" t="s">
        <v>904</v>
      </c>
      <c r="C237" s="4"/>
      <c r="D237" s="4"/>
      <c r="E237" s="5"/>
      <c r="F237" s="4" t="s">
        <v>905</v>
      </c>
      <c r="G237" s="6" t="str">
        <f t="shared" si="1"/>
        <v>Link</v>
      </c>
      <c r="H237" s="3" t="s">
        <v>37</v>
      </c>
      <c r="I237" s="8" t="str">
        <f t="shared" si="2"/>
        <v>{"address_components":[{"long_name":"Arch Cape","short_name":"Arch Cape","types":["locality","political"]},{"types":["administrative_area_level_2","political"],"long_name":"Clatsop County","short_name":"Clatsop County"},{"long_name":"Oregon","short_name":"OR","types":["administrative_area_level_1","political"]},{"long_name":"United States","short_name":"US","types":["country","political"]},{"long_name":"97102","types":["postal_code"],"short_name":"97102"},{"long_name":"31983","types":["street_number"],"short_name":"31983"},{"long_name":"Cedar Lane","types":["route"],"short_name":"Cedar Ln"},{"long_name":"Arch Cape","types":["locality","political"],"short_name":"Arch Cape"},{"long_name":"Clatsop County","short_name":"Clatsop County","types":["administrative_area_level_2","political"]},{"long_name":"Oregon","types":["administrative_area_level_1","political"],"short_name":"OR"},{"short_name":"US","long_name":"United States","types":["country","political"]},{"long_name":"97102","types":["postal_code"],"short_name":"97102"},{"long_name":"2001","types":["postal_code_suffix"],"short_name":"2001"},{"types":["latitude"],"long_name":45.8167032,"short_name":45.8167032},{"types":["longitude"],"long_name":-123.9612475,"short_name":-123.9612475}]}</v>
      </c>
      <c r="J237" s="8" t="str">
        <f t="shared" si="3"/>
        <v>[{"long_name":"Arch Cape","short_name":"Arch Cape","types":["locality","political"]},{"types":["administrative_area_level_2","political"],"long_name":"Clatsop County","short_name":"Clatsop County"},{"long_name":"Oregon","short_name":"OR","types":["administrative_area_level_1","political"]},{"long_name":"United States","short_name":"US","types":["country","political"]},{"long_name":"97102","types":["postal_code"],"short_name":"97102"},{"long_name":"31983","types":["street_number"],"short_name":"31983"},{"long_name":"Cedar Lane","types":["route"],"short_name":"Cedar Ln"},{"long_name":"Arch Cape","types":["locality","political"],"short_name":"Arch Cape"},{"long_name":"Clatsop County","short_name":"Clatsop County","types":["administrative_area_level_2","political"]},{"long_name":"Oregon","types":["administrative_area_level_1","political"],"short_name":"OR"},{"short_name":"US","long_name":"United States","types":["country","political"]},{"long_name":"97102","types":["postal_code"],"short_name":"97102"},{"long_name":"2001","types":["postal_code_suffix"],"short_name":"2001"},{"types":["latitude"],"long_name":45.8167032,"short_name":45.8167032},{"types":["longitude"],"long_name":-123.9612475,"short_name":-123.9612475},{"types":["debug_info","cache_load_result"],"long_name":"hit","short_name":"hit"}]</v>
      </c>
      <c r="K237" s="9" t="b">
        <f t="shared" si="341"/>
        <v>0</v>
      </c>
      <c r="L237" s="8" t="b">
        <f t="shared" si="4"/>
        <v>1</v>
      </c>
      <c r="M237" s="10" t="b">
        <v>1</v>
      </c>
      <c r="N237" s="10">
        <v>45.8167032</v>
      </c>
      <c r="O237" s="10">
        <v>-123.9612475</v>
      </c>
      <c r="P237" s="10" t="s">
        <v>904</v>
      </c>
      <c r="Q237" s="10" t="s">
        <v>460</v>
      </c>
      <c r="R237" s="10">
        <v>97102.0</v>
      </c>
      <c r="S237" s="10" t="s">
        <v>47</v>
      </c>
      <c r="T237" s="19">
        <v>211.4</v>
      </c>
      <c r="U237" s="32">
        <v>0.1633449074074074</v>
      </c>
      <c r="V237" s="18">
        <v>145.98</v>
      </c>
      <c r="W237" s="4"/>
      <c r="X237" s="4" t="str">
        <f t="shared" si="319"/>
        <v>N/A</v>
      </c>
      <c r="Y237" s="4"/>
      <c r="Z237" s="4" t="s">
        <v>38</v>
      </c>
    </row>
    <row r="238">
      <c r="A238" s="3" t="s">
        <v>695</v>
      </c>
      <c r="B238" s="4" t="s">
        <v>906</v>
      </c>
      <c r="E238" s="3" t="s">
        <v>100</v>
      </c>
      <c r="F238" s="4" t="s">
        <v>907</v>
      </c>
      <c r="G238" s="6" t="str">
        <f t="shared" si="1"/>
        <v>Link</v>
      </c>
      <c r="H238" s="3" t="s">
        <v>219</v>
      </c>
      <c r="I238" s="8" t="str">
        <f t="shared" si="2"/>
        <v>{"distance_from":{"mi":{"flying":{"2116 4th Ave, Seattle, WA, 98121":5411.07659040352},"driving":{"2116 4th Ave, Seattle, WA, 98121":"GOOGLE_MAPS_ERROR_CACHED - No route found!"}}},"address_components":[{"long_name":"32","short_name":"32","types":["street_number"]},{"short_name":"Rynok Square","types":["route"],"long_name":"Rynok Square"},{"long_name":"Halytskyi District","short_name":"Halytskyi District","types":["political","sublocality","sublocality_level_1"]},{"types":["locality","political"],"long_name":"L'viv","short_name":"L'viv"},{"long_name":"L'vivs'ka city council","types":["administrative_area_level_3","political"],"short_name":"L'vivs'ka city council"},{"short_name":"L'vivs'ka oblast","long_name":"L'vivs'ka oblast","types":["administrative_area_level_1","political"]},{"short_name":"UA","long_name":"Ukraine","types":["country","political"]},{"short_name":"79000","long_name":"79000","types":["postal_code"]},{"short_name":"32","long_name":"32","types":["street_number"]},{"short_name":"Rynok Square","long_name":"Rynok Square","types":["route"]},{"types":["political","sublocality","sublocality_level_1"],"short_name":"Halytskyi District","long_name":"Halytskyi District"},{"long_name":"L'viv","types":["locality","political"],"short_name":"L'viv"},{"long_name":"L'vivs'ka city council","short_name":"L'vivs'ka city council","types":["administrative_area_level_3","political"]},{"long_name":"L'vivs'ka oblast","short_name":"L'vivs'ka oblast","types":["administrative_area_level_1","political"]},{"short_name":"UA","long_name":"Ukraine","types":["country","political"]},{"long_name":"79000","types":["postal_code"],"short_name":"79000"},{"types":["latitude"],"long_name":49.8420195,"short_name":49.8420195},{"types":["longitude"],"long_name":24.0301139,"short_name":24.0301139}],"duration_from":{"days":{"driving":{"2116 4th Ave, Seattle, WA, 98121":"GOOGLE_MAPS_ERROR_CACHED - No route found!"}}}}</v>
      </c>
      <c r="J238" s="8" t="str">
        <f t="shared" si="3"/>
        <v>[{"long_name":"32","short_name":"32","types":["street_number"]},{"short_name":"Rynok Square","types":["route"],"long_name":"Rynok Square"},{"long_name":"Halytskyi District","short_name":"Halytskyi District","types":["political","sublocality","sublocality_level_1"]},{"types":["locality","political"],"long_name":"L'viv","short_name":"L'viv"},{"long_name":"L'vivs'ka city council","types":["administrative_area_level_3","political"],"short_name":"L'vivs'ka city council"},{"short_name":"L'vivs'ka oblast","long_name":"L'vivs'ka oblast","types":["administrative_area_level_1","political"]},{"short_name":"UA","long_name":"Ukraine","types":["country","political"]},{"short_name":"79000","long_name":"79000","types":["postal_code"]},{"short_name":"32","long_name":"32","types":["street_number"]},{"short_name":"Rynok Square","long_name":"Rynok Square","types":["route"]},{"types":["political","sublocality","sublocality_level_1"],"short_name":"Halytskyi District","long_name":"Halytskyi District"},{"long_name":"L'viv","types":["locality","political"],"short_name":"L'viv"},{"long_name":"L'vivs'ka city council","short_name":"L'vivs'ka city council","types":["administrative_area_level_3","political"]},{"long_name":"L'vivs'ka oblast","short_name":"L'vivs'ka oblast","types":["administrative_area_level_1","political"]},{"short_name":"UA","long_name":"Ukraine","types":["country","political"]},{"long_name":"79000","types":["postal_code"],"short_name":"79000"},{"types":["latitude"],"long_name":49.8420195,"short_name":49.8420195},{"types":["longitude"],"long_name":24.0301139,"short_name":24.0301139},{"types":["debug_info","cache_load_result"],"long_name":"hit","short_name":"hit"}]</v>
      </c>
      <c r="K238" s="9" t="b">
        <f t="shared" ref="K238:K244" si="342">NOT(AND(NOT(_xlfn.ISFORMULA(P238)),AND(NOT(_xlfn.ISFORMULA(Q238)),AND(NOT(_xlfn.ISFORMULA(R238)),AND(NOT(_xlfn.ISFORMULA(S238)),AND(NOT(_xlfn.ISFORMULA(T238)),AND(NOT(_xlfn.ISFORMULA(U238)),AND(NOT(_xlfn.ISFORMULA(V238))))))))))</f>
        <v>1</v>
      </c>
      <c r="L238" s="8" t="b">
        <f t="shared" si="4"/>
        <v>0</v>
      </c>
      <c r="M238" s="10" t="b">
        <v>1</v>
      </c>
      <c r="N238" s="8">
        <f t="shared" ref="N238:N244" si="343">GOOGLEMAPS_GET_ADDRESS_LATITUDE(F238,true)</f>
        <v>49.8420195</v>
      </c>
      <c r="O238" s="8">
        <f t="shared" ref="O238:O244" si="344">GOOGLEMAPS_GET_ADDRESS_LONGITUDE(F238,true)</f>
        <v>24.0301139</v>
      </c>
      <c r="P238" s="8" t="str">
        <f t="shared" ref="P238:P244" si="345">GOOGLEMAPS_GET_ADDRESS_CITY(F238,true,false)</f>
        <v>L'viv</v>
      </c>
      <c r="Q238" s="8" t="str">
        <f t="shared" ref="Q238:Q244" si="346">GOOGLEMAPS_GET_ADDRESS_STATE(F238,true,false)</f>
        <v>L'vivs'ka oblast</v>
      </c>
      <c r="R238" s="8" t="str">
        <f t="shared" ref="R238:R244" si="347">GOOGLEMAPS_GET_ADDRESS_POSTAL_CODE(F238,false,false)</f>
        <v>79000</v>
      </c>
      <c r="S238" s="8" t="str">
        <f t="shared" ref="S238:S244" si="348">GOOGLEMAPS_GET_ADDRESS_COUNTRY(F238,true,false)</f>
        <v>Ukraine</v>
      </c>
      <c r="T238" s="11" t="str">
        <f t="shared" ref="T238:T244" si="349">IFERROR(GOOGLEMAPS_DISTANCE("2116 4th Ave, Seattle, WA, 98121", F238, "driving")+0,"Not Driveable")</f>
        <v>Not Driveable</v>
      </c>
      <c r="U238" s="12" t="str">
        <f t="shared" ref="U238:U244" si="350">iferror(GOOGLEMAPS_DURATION("2116 4th Ave, Seattle, WA, 98121", F238, "driving")+0,"Not Driveable")</f>
        <v>Not Driveable</v>
      </c>
      <c r="V238" s="13">
        <f t="shared" ref="V238:V244" si="351">GOOGLEMAPS_DISTANCE("2116 4th Ave, Seattle, WA, 98121", F238, "flying")+0</f>
        <v>5411.07659</v>
      </c>
      <c r="X238" s="4" t="str">
        <f t="shared" si="319"/>
        <v>N/A</v>
      </c>
      <c r="Y238" s="4"/>
      <c r="Z238" s="4" t="s">
        <v>38</v>
      </c>
    </row>
    <row r="239" hidden="1">
      <c r="A239" s="3" t="s">
        <v>695</v>
      </c>
      <c r="B239" s="4" t="s">
        <v>908</v>
      </c>
      <c r="C239" s="4"/>
      <c r="D239" s="4"/>
      <c r="E239" s="5"/>
      <c r="F239" s="4" t="s">
        <v>909</v>
      </c>
      <c r="G239" s="6" t="str">
        <f t="shared" si="1"/>
        <v>Link</v>
      </c>
      <c r="H239" s="3" t="s">
        <v>37</v>
      </c>
      <c r="I239" s="8" t="str">
        <f t="shared" si="2"/>
        <v>{"address_components":[{"short_name":"Hurricane Ridge","types":["establishment","natural_feature"],"long_name":"Hurricane Ridge"},{"long_name":"Clallam County","short_name":"Clallam County","types":["administrative_area_level_2","political"]},{"long_name":"Washington","short_name":"WA","types":["administrative_area_level_1","political"]},{"short_name":"US","types":["country","political"],"long_name":"United States"},{"long_name":"98362","short_name":"98362","types":["postal_code"]},{"short_name":"84VRWHMR+74","types":["plus_code"],"long_name":"84VRWHMR+74"},{"types":["latitude"],"long_name":47.9331457,"short_name":47.9331457},{"types":["longitude"],"long_name":-123.4096267,"short_name":-123.4096267}],"distance_from":{"mi":{"flying":{"2116 4th Ave, Seattle, WA, 98121":54.25640324605118},"driving":{"2116 4th Ave, Seattle, WA, 98121":"GOOGLE_MAPS_ERROR_CACHED - No route found!"}}},"duration_from":{"days":{"driving":{"2116 4th Ave, Seattle, WA, 98121":"GOOGLE_MAPS_ERROR_CACHED - No route found!"}}}}</v>
      </c>
      <c r="J239" s="8" t="str">
        <f t="shared" si="3"/>
        <v>[{"short_name":"Hurricane Ridge","types":["establishment","natural_feature"],"long_name":"Hurricane Ridge"},{"long_name":"Clallam County","short_name":"Clallam County","types":["administrative_area_level_2","political"]},{"long_name":"Washington","short_name":"WA","types":["administrative_area_level_1","political"]},{"short_name":"US","types":["country","political"],"long_name":"United States"},{"long_name":"98362","short_name":"98362","types":["postal_code"]},{"short_name":"84VRWHMR+74","types":["plus_code"],"long_name":"84VRWHMR+74"},{"types":["latitude"],"long_name":47.9331457,"short_name":47.9331457},{"types":["longitude"],"long_name":-123.4096267,"short_name":-123.4096267},{"types":["debug_info","cache_load_result"],"long_name":"hit","short_name":"hit"}]</v>
      </c>
      <c r="K239" s="9" t="b">
        <f t="shared" si="342"/>
        <v>1</v>
      </c>
      <c r="L239" s="8" t="b">
        <f t="shared" si="4"/>
        <v>0</v>
      </c>
      <c r="M239" s="10" t="b">
        <v>1</v>
      </c>
      <c r="N239" s="8">
        <f t="shared" si="343"/>
        <v>47.9331457</v>
      </c>
      <c r="O239" s="8">
        <f t="shared" si="344"/>
        <v>-123.4096267</v>
      </c>
      <c r="P239" s="8" t="str">
        <f t="shared" si="345"/>
        <v>Port Angeles</v>
      </c>
      <c r="Q239" s="8" t="str">
        <f t="shared" si="346"/>
        <v>Washington</v>
      </c>
      <c r="R239" s="8" t="str">
        <f t="shared" si="347"/>
        <v>98362</v>
      </c>
      <c r="S239" s="8" t="str">
        <f t="shared" si="348"/>
        <v>United States</v>
      </c>
      <c r="T239" s="11" t="str">
        <f t="shared" si="349"/>
        <v>Not Driveable</v>
      </c>
      <c r="U239" s="12" t="str">
        <f t="shared" si="350"/>
        <v>Not Driveable</v>
      </c>
      <c r="V239" s="13">
        <f t="shared" si="351"/>
        <v>54.25640325</v>
      </c>
      <c r="W239" s="4"/>
      <c r="X239" s="4" t="str">
        <f t="shared" si="319"/>
        <v>N/A</v>
      </c>
      <c r="Y239" s="4"/>
      <c r="Z239" s="4" t="s">
        <v>38</v>
      </c>
    </row>
    <row r="240">
      <c r="A240" s="3" t="s">
        <v>695</v>
      </c>
      <c r="B240" s="4" t="s">
        <v>910</v>
      </c>
      <c r="C240" s="4"/>
      <c r="D240" s="4"/>
      <c r="E240" s="5"/>
      <c r="F240" s="4" t="s">
        <v>910</v>
      </c>
      <c r="G240" s="6" t="str">
        <f t="shared" si="1"/>
        <v>Link</v>
      </c>
      <c r="H240" s="3" t="s">
        <v>45</v>
      </c>
      <c r="I240" s="8" t="str">
        <f t="shared" si="2"/>
        <v>{"address_components":[{"short_name":"Old","long_name":"Old","types":["establishment","point_of_interest"]},{"long_name":"Περίθεια","short_name":"Περίθεια","types":["locality","political"]},{"types":["administrative_area_level_3","political"],"long_name":"Κέρκυρα","short_name":"Κέρκυρα"},{"short_name":"GR","long_name":"Greece","types":["country","political"]},{"short_name":"490 81","types":["postal_code"],"long_name":"490 81"},{"long_name":"QV7G+Q8","short_name":"QV7G+Q8","types":["plus_code"]},{"long_name":"Palea Peritheia","types":["locality","political"],"short_name":"Palea Peritheia"},{"types":["administrative_area_level_3","political"],"long_name":"Corfu","short_name":"Corfu"},{"long_name":"Greece","short_name":"GR","types":["country","political"]},{"types":["postal_code"],"short_name":"491 00","long_name":"491 00"},{"types":["latitude"],"long_name":39.764473,"short_name":39.764473},{"types":["longitude"],"long_name":19.8757991,"short_name":19.8757991}],"duration_from":{"days":{"driving":{"2116 4th Ave, Seattle, WA, 98121":"GOOGLE_MAPS_ERROR_CACHED - No route found!"}}},"distance_from":{"mi":{"driving":{"2116 4th Ave, Seattle, WA, 98121":"GOOGLE_MAPS_ERROR_CACHED - No route found!"},"flying":{"2116 4th Ave, Seattle, WA, 98121":5969.206009917109}}}}</v>
      </c>
      <c r="J240" s="8" t="str">
        <f t="shared" si="3"/>
        <v>[{"short_name":"Old","long_name":"Old","types":["establishment","point_of_interest"]},{"long_name":"Περίθεια","short_name":"Περίθεια","types":["locality","political"]},{"types":["administrative_area_level_3","political"],"long_name":"Κέρκυρα","short_name":"Κέρκυρα"},{"short_name":"GR","long_name":"Greece","types":["country","political"]},{"short_name":"490 81","types":["postal_code"],"long_name":"490 81"},{"long_name":"QV7G+Q8","short_name":"QV7G+Q8","types":["plus_code"]},{"long_name":"Palea Peritheia","types":["locality","political"],"short_name":"Palea Peritheia"},{"types":["administrative_area_level_3","political"],"long_name":"Corfu","short_name":"Corfu"},{"long_name":"Greece","short_name":"GR","types":["country","political"]},{"types":["postal_code"],"short_name":"491 00","long_name":"491 00"},{"types":["latitude"],"long_name":39.764473,"short_name":39.764473},{"types":["longitude"],"long_name":19.8757991,"short_name":19.8757991},{"types":["debug_info","cache_load_result"],"long_name":"hit","short_name":"hit"}]</v>
      </c>
      <c r="K240" s="9" t="b">
        <f t="shared" si="342"/>
        <v>1</v>
      </c>
      <c r="L240" s="8" t="b">
        <f t="shared" si="4"/>
        <v>0</v>
      </c>
      <c r="M240" s="10" t="b">
        <v>1</v>
      </c>
      <c r="N240" s="8">
        <f t="shared" si="343"/>
        <v>39.764473</v>
      </c>
      <c r="O240" s="8">
        <f t="shared" si="344"/>
        <v>19.8757991</v>
      </c>
      <c r="P240" s="8" t="str">
        <f t="shared" si="345"/>
        <v>Περίθεια</v>
      </c>
      <c r="Q240" s="8" t="str">
        <f t="shared" si="346"/>
        <v>UNDEFINED</v>
      </c>
      <c r="R240" s="8" t="str">
        <f t="shared" si="347"/>
        <v>490 81</v>
      </c>
      <c r="S240" s="8" t="str">
        <f t="shared" si="348"/>
        <v>Greece</v>
      </c>
      <c r="T240" s="11" t="str">
        <f t="shared" si="349"/>
        <v>Not Driveable</v>
      </c>
      <c r="U240" s="12" t="str">
        <f t="shared" si="350"/>
        <v>Not Driveable</v>
      </c>
      <c r="V240" s="13">
        <f t="shared" si="351"/>
        <v>5969.20601</v>
      </c>
      <c r="X240" s="4" t="str">
        <f t="shared" si="319"/>
        <v>N/A</v>
      </c>
      <c r="Y240" s="4"/>
      <c r="Z240" s="4" t="s">
        <v>38</v>
      </c>
      <c r="AF240" s="4" t="s">
        <v>911</v>
      </c>
    </row>
    <row r="241" hidden="1">
      <c r="A241" s="34" t="s">
        <v>695</v>
      </c>
      <c r="B241" s="4" t="s">
        <v>912</v>
      </c>
      <c r="C241" s="4"/>
      <c r="D241" s="4"/>
      <c r="E241" s="5"/>
      <c r="F241" s="4" t="s">
        <v>913</v>
      </c>
      <c r="G241" s="6" t="str">
        <f t="shared" si="1"/>
        <v>Link</v>
      </c>
      <c r="H241" s="3" t="s">
        <v>37</v>
      </c>
      <c r="I241" s="8" t="str">
        <f t="shared" si="2"/>
        <v>{"address_components":[{"short_name":"Shoshone Falls","long_name":"Shoshone Falls","types":["establishment","natural_feature"]},{"short_name":"Twin Falls County","types":["administrative_area_level_2","political"],"long_name":"Twin Falls County"},{"long_name":"Idaho","short_name":"ID","types":["administrative_area_level_1","political"]},{"short_name":"US","long_name":"United States","types":["country","political"]},{"long_name":"83341","types":["postal_code"],"short_name":"83341"},{"long_name":"3300","short_name":"3300","types":["street_number"]},{"long_name":"Shoshone Falls Grade Road","types":["route"],"short_name":"Shoshone Falls Grade Rd"},{"types":["locality","political"],"short_name":"Twin Falls","long_name":"Twin Falls"},{"long_name":"Twin Falls County","types":["administrative_area_level_2","political"],"short_name":"Twin Falls County"},{"long_name":"Idaho","short_name":"ID","types":["administrative_area_level_1","political"]},{"short_name":"US","types":["country","political"],"long_name":"United States"},{"short_name":"83301","types":["postal_code"],"long_name":"83301"},{"types":["latitude"],"long_name":42.5951887,"short_name":42.5951887},{"types":["longitude"],"long_name":-114.4008694,"short_name":-114.4008694}],"distance_from":{"mi":{"flying":{"2116 4th Ave, Seattle, WA, 98121":519.351411137485},"driving":{"2116 4th Ave, Seattle, WA, 98121":622.3246796823543}}},"duration_from":{"days":{"driving":{"2116 4th Ave, Seattle, WA, 98121":0.399525462962963}}}}</v>
      </c>
      <c r="J241" s="8" t="str">
        <f t="shared" si="3"/>
        <v>[{"short_name":"Shoshone Falls","long_name":"Shoshone Falls","types":["establishment","natural_feature"]},{"short_name":"Twin Falls County","types":["administrative_area_level_2","political"],"long_name":"Twin Falls County"},{"long_name":"Idaho","short_name":"ID","types":["administrative_area_level_1","political"]},{"short_name":"US","long_name":"United States","types":["country","political"]},{"long_name":"83341","types":["postal_code"],"short_name":"83341"},{"long_name":"3300","short_name":"3300","types":["street_number"]},{"long_name":"Shoshone Falls Grade Road","types":["route"],"short_name":"Shoshone Falls Grade Rd"},{"types":["locality","political"],"short_name":"Twin Falls","long_name":"Twin Falls"},{"long_name":"Twin Falls County","types":["administrative_area_level_2","political"],"short_name":"Twin Falls County"},{"long_name":"Idaho","short_name":"ID","types":["administrative_area_level_1","political"]},{"short_name":"US","types":["country","political"],"long_name":"United States"},{"short_name":"83301","types":["postal_code"],"long_name":"83301"},{"types":["latitude"],"long_name":42.5951887,"short_name":42.5951887},{"types":["longitude"],"long_name":-114.4008694,"short_name":-114.4008694},{"types":["debug_info","cache_load_result"],"long_name":"hit","short_name":"hit"}]</v>
      </c>
      <c r="K241" s="9" t="b">
        <f t="shared" si="342"/>
        <v>1</v>
      </c>
      <c r="L241" s="8" t="b">
        <f t="shared" si="4"/>
        <v>0</v>
      </c>
      <c r="M241" s="10" t="b">
        <v>1</v>
      </c>
      <c r="N241" s="8">
        <f t="shared" si="343"/>
        <v>42.5951887</v>
      </c>
      <c r="O241" s="8">
        <f t="shared" si="344"/>
        <v>-114.4008694</v>
      </c>
      <c r="P241" s="8" t="str">
        <f t="shared" si="345"/>
        <v>Twin Falls</v>
      </c>
      <c r="Q241" s="8" t="str">
        <f t="shared" si="346"/>
        <v>Idaho</v>
      </c>
      <c r="R241" s="8" t="str">
        <f t="shared" si="347"/>
        <v>83341</v>
      </c>
      <c r="S241" s="8" t="str">
        <f t="shared" si="348"/>
        <v>United States</v>
      </c>
      <c r="T241" s="11">
        <f t="shared" si="349"/>
        <v>622.3246797</v>
      </c>
      <c r="U241" s="12">
        <f t="shared" si="350"/>
        <v>0.399525463</v>
      </c>
      <c r="V241" s="13">
        <f t="shared" si="351"/>
        <v>519.3514111</v>
      </c>
      <c r="X241" s="4" t="str">
        <f t="shared" si="319"/>
        <v>N/A</v>
      </c>
      <c r="Z241" s="4" t="s">
        <v>38</v>
      </c>
    </row>
    <row r="242" hidden="1">
      <c r="A242" s="34" t="s">
        <v>695</v>
      </c>
      <c r="B242" s="4" t="s">
        <v>914</v>
      </c>
      <c r="C242" s="4"/>
      <c r="D242" s="4"/>
      <c r="E242" s="5"/>
      <c r="F242" s="4" t="s">
        <v>915</v>
      </c>
      <c r="G242" s="6" t="str">
        <f t="shared" si="1"/>
        <v>Link</v>
      </c>
      <c r="H242" s="3" t="s">
        <v>37</v>
      </c>
      <c r="I242" s="8" t="str">
        <f t="shared" si="2"/>
        <v>{"address_components":[{"short_name":"NV","types":["administrative_area_level_1","political"],"long_name":"Nevada"},{"long_name":"United States","short_name":"US","types":["country","political"]},{"long_name":"85C5RH3J+26","types":["plus_code"],"short_name":"85C5RH3J+26"},{"types":["latitude"],"long_name":38.8026097,"short_name":38.8026097},{"types":["longitude"],"long_name":-116.419389,"short_name":-116.419389}],"duration_from":{"days":{"driving":{"2116 4th Ave, Seattle, WA, 98121":0.6631828703703704}}},"distance_from":{"mi":{"driving":{"2116 4th Ave, Seattle, WA, 98121":908.4077944996086},"flying":{"2116 4th Ave, Seattle, WA, 98121":677.4659177053948}}}}</v>
      </c>
      <c r="J242" s="8" t="str">
        <f t="shared" si="3"/>
        <v>[{"short_name":"NV","types":["administrative_area_level_1","political"],"long_name":"Nevada"},{"long_name":"United States","short_name":"US","types":["country","political"]},{"long_name":"85C5RH3J+26","types":["plus_code"],"short_name":"85C5RH3J+26"},{"types":["latitude"],"long_name":38.8026097,"short_name":38.8026097},{"types":["longitude"],"long_name":-116.419389,"short_name":-116.419389},{"types":["debug_info","cache_load_result"],"long_name":"hit","short_name":"hit"}]</v>
      </c>
      <c r="K242" s="9" t="b">
        <f t="shared" si="342"/>
        <v>1</v>
      </c>
      <c r="L242" s="8" t="b">
        <f t="shared" si="4"/>
        <v>0</v>
      </c>
      <c r="M242" s="10" t="b">
        <v>1</v>
      </c>
      <c r="N242" s="8">
        <f t="shared" si="343"/>
        <v>38.8026097</v>
      </c>
      <c r="O242" s="8">
        <f t="shared" si="344"/>
        <v>-116.419389</v>
      </c>
      <c r="P242" s="8" t="str">
        <f t="shared" si="345"/>
        <v>UNDEFINED</v>
      </c>
      <c r="Q242" s="8" t="str">
        <f t="shared" si="346"/>
        <v>Nevada</v>
      </c>
      <c r="R242" s="8" t="str">
        <f t="shared" si="347"/>
        <v>UNDEFINED</v>
      </c>
      <c r="S242" s="8" t="str">
        <f t="shared" si="348"/>
        <v>United States</v>
      </c>
      <c r="T242" s="11">
        <f t="shared" si="349"/>
        <v>908.4077945</v>
      </c>
      <c r="U242" s="12">
        <f t="shared" si="350"/>
        <v>0.6631828704</v>
      </c>
      <c r="V242" s="13">
        <f t="shared" si="351"/>
        <v>677.4659177</v>
      </c>
      <c r="W242" s="4"/>
      <c r="X242" s="4" t="str">
        <f t="shared" si="319"/>
        <v>N/A</v>
      </c>
      <c r="Y242" s="4"/>
      <c r="Z242" s="4" t="s">
        <v>38</v>
      </c>
    </row>
    <row r="243" hidden="1">
      <c r="A243" s="3" t="s">
        <v>695</v>
      </c>
      <c r="B243" s="4" t="s">
        <v>916</v>
      </c>
      <c r="E243" s="5"/>
      <c r="F243" s="42" t="s">
        <v>917</v>
      </c>
      <c r="G243" s="6" t="str">
        <f t="shared" si="1"/>
        <v>Link</v>
      </c>
      <c r="H243" s="3" t="s">
        <v>684</v>
      </c>
      <c r="I243" s="8" t="str">
        <f t="shared" si="2"/>
        <v>{"address_components":[{"short_name":"Unnamed Road","types":["route"],"long_name":"Unnamed Road"},{"long_name":"Falkland Islands (Islas Malvinas)","short_name":"FK","types":["country","political"]},{"long_name":"FIQQ 1ZZ","short_name":"FIQQ 1ZZ","types":["postal_code"]},{"long_name":"8662+64","short_name":"8662+64","types":["plus_code"]},{"long_name":"Stanley","short_name":"Stanley","types":["locality","political"]},{"long_name":"East Falkland","short_name":"East Falkland","types":["administrative_area_level_1","political"]},{"long_name":"Falkland Islands (Islas Malvinas)","short_name":"FK","types":["country","political"]},{"short_name":"FIQQ 1ZZ","types":["postal_code"],"long_name":"FIQQ 1ZZ"},{"types":["latitude"],"long_name":-51.68939109999999,"short_name":-51.68939109999999},{"types":["longitude"],"long_name":-57.79973719999999,"short_name":-57.79973719999999}],"duration_from":{"days":{"driving":{"2116 4th Ave, Seattle, WA, 98121":"GOOGLE_MAPS_ERROR_CACHED - No route found!"}}},"distance_from":{"mi":{"flying":{"2116 4th Ave, Seattle, WA, 98121":7847.237998185592},"driving":{"2116 4th Ave, Seattle, WA, 98121":"GOOGLE_MAPS_ERROR_CACHED - No route found!"}}}}</v>
      </c>
      <c r="J243" s="8" t="str">
        <f t="shared" si="3"/>
        <v>[{"short_name":"Unnamed Road","types":["route"],"long_name":"Unnamed Road"},{"long_name":"Falkland Islands (Islas Malvinas)","short_name":"FK","types":["country","political"]},{"long_name":"FIQQ 1ZZ","short_name":"FIQQ 1ZZ","types":["postal_code"]},{"long_name":"8662+64","short_name":"8662+64","types":["plus_code"]},{"long_name":"Stanley","short_name":"Stanley","types":["locality","political"]},{"long_name":"East Falkland","short_name":"East Falkland","types":["administrative_area_level_1","political"]},{"long_name":"Falkland Islands (Islas Malvinas)","short_name":"FK","types":["country","political"]},{"short_name":"FIQQ 1ZZ","types":["postal_code"],"long_name":"FIQQ 1ZZ"},{"types":["latitude"],"long_name":-51.68939109999999,"short_name":-51.68939109999999},{"types":["longitude"],"long_name":-57.79973719999999,"short_name":-57.79973719999999},{"types":["debug_info","cache_load_result"],"long_name":"hit","short_name":"hit"}]</v>
      </c>
      <c r="K243" s="9" t="b">
        <f t="shared" si="342"/>
        <v>1</v>
      </c>
      <c r="L243" s="8" t="b">
        <f t="shared" si="4"/>
        <v>0</v>
      </c>
      <c r="M243" s="10" t="b">
        <v>1</v>
      </c>
      <c r="N243" s="8">
        <f t="shared" si="343"/>
        <v>-51.6893911</v>
      </c>
      <c r="O243" s="8">
        <f t="shared" si="344"/>
        <v>-57.7997372</v>
      </c>
      <c r="P243" s="8" t="str">
        <f t="shared" si="345"/>
        <v>Stanley</v>
      </c>
      <c r="Q243" s="8" t="str">
        <f t="shared" si="346"/>
        <v>East Falkland</v>
      </c>
      <c r="R243" s="8" t="str">
        <f t="shared" si="347"/>
        <v>FIQQ 1ZZ</v>
      </c>
      <c r="S243" s="8" t="str">
        <f t="shared" si="348"/>
        <v>Falkland Islands (Islas Malvinas)</v>
      </c>
      <c r="T243" s="11" t="str">
        <f t="shared" si="349"/>
        <v>Not Driveable</v>
      </c>
      <c r="U243" s="12" t="str">
        <f t="shared" si="350"/>
        <v>Not Driveable</v>
      </c>
      <c r="V243" s="13">
        <f t="shared" si="351"/>
        <v>7847.237998</v>
      </c>
      <c r="W243" s="4"/>
      <c r="X243" s="4" t="str">
        <f t="shared" si="319"/>
        <v>N/A</v>
      </c>
      <c r="Y243" s="4"/>
      <c r="Z243" s="4" t="s">
        <v>38</v>
      </c>
    </row>
    <row r="244" hidden="1">
      <c r="A244" s="3" t="s">
        <v>695</v>
      </c>
      <c r="B244" s="4" t="s">
        <v>918</v>
      </c>
      <c r="E244" s="5"/>
      <c r="F244" s="4" t="s">
        <v>919</v>
      </c>
      <c r="G244" s="6" t="str">
        <f t="shared" si="1"/>
        <v>Link</v>
      </c>
      <c r="H244" s="3" t="s">
        <v>684</v>
      </c>
      <c r="I244" s="7" t="str">
        <f t="shared" si="2"/>
        <v>{"duration_from":{"days":{"driving":{"2116 4th Ave, Seattle, WA, 98121":"GOOGLE_MAPS_ERROR_CACHED - No route found!"}}},"distance_from":{"mi":{"driving":{"2116 4th Ave, Seattle, WA, 98121":"GOOGLE_MAPS_ERROR_CACHED - No route found!"},"flying":{"2116 4th Ave, Seattle, WA, 98121":2594.339915741857}}},"address_components":[{"short_name":"NL","types":["administrative_area_level_1","political"],"long_name":"Newfoundland and Labrador"},{"long_name":"Canada","types":["country","political"],"short_name":"CA"},{"types":["plus_code"],"short_name":"976W77F6+6F","long_name":"976W77F6+6F"},{"types":["latitude"],"long_name":54.2730918,"short_name":54.2730918},{"types":["longitude"],"long_name":-61.7387586,"short_name":-61.7387586}]}</v>
      </c>
      <c r="J244" s="8" t="str">
        <f t="shared" si="3"/>
        <v>[{"short_name":"NL","types":["administrative_area_level_1","political"],"long_name":"Newfoundland and Labrador"},{"long_name":"Canada","types":["country","political"],"short_name":"CA"},{"types":["plus_code"],"short_name":"976W77F6+6F","long_name":"976W77F6+6F"},{"types":["latitude"],"long_name":54.2730918,"short_name":54.2730918},{"types":["longitude"],"long_name":-61.7387586,"short_name":-61.7387586},{"types":["debug_info","cache_load_result"],"long_name":"hit","short_name":"hit"}]</v>
      </c>
      <c r="K244" s="9" t="b">
        <f t="shared" si="342"/>
        <v>1</v>
      </c>
      <c r="L244" s="8" t="b">
        <f t="shared" si="4"/>
        <v>0</v>
      </c>
      <c r="M244" s="10" t="b">
        <v>1</v>
      </c>
      <c r="N244" s="8">
        <f t="shared" si="343"/>
        <v>54.2730918</v>
      </c>
      <c r="O244" s="8">
        <f t="shared" si="344"/>
        <v>-61.7387586</v>
      </c>
      <c r="P244" s="8" t="str">
        <f t="shared" si="345"/>
        <v>UNDEFINED</v>
      </c>
      <c r="Q244" s="8" t="str">
        <f t="shared" si="346"/>
        <v>Newfoundland and Labrador</v>
      </c>
      <c r="R244" s="8" t="str">
        <f t="shared" si="347"/>
        <v>UNDEFINED</v>
      </c>
      <c r="S244" s="8" t="str">
        <f t="shared" si="348"/>
        <v>Canada</v>
      </c>
      <c r="T244" s="11" t="str">
        <f t="shared" si="349"/>
        <v>Not Driveable</v>
      </c>
      <c r="U244" s="12" t="str">
        <f t="shared" si="350"/>
        <v>Not Driveable</v>
      </c>
      <c r="V244" s="13">
        <f t="shared" si="351"/>
        <v>2594.339916</v>
      </c>
      <c r="X244" s="4" t="str">
        <f t="shared" si="319"/>
        <v>N/A</v>
      </c>
      <c r="Y244" s="4"/>
      <c r="Z244" s="4" t="s">
        <v>38</v>
      </c>
    </row>
    <row r="245" hidden="1">
      <c r="A245" s="3" t="s">
        <v>695</v>
      </c>
      <c r="B245" s="4" t="s">
        <v>920</v>
      </c>
      <c r="C245" s="4" t="s">
        <v>921</v>
      </c>
      <c r="D245" s="4" t="s">
        <v>922</v>
      </c>
      <c r="E245" s="5"/>
      <c r="F245" s="4" t="s">
        <v>923</v>
      </c>
      <c r="G245" s="6" t="str">
        <f t="shared" si="1"/>
        <v>Link</v>
      </c>
      <c r="H245" s="5"/>
      <c r="I245" s="7" t="str">
        <f t="shared" si="2"/>
        <v>{"address_components":[{"short_name":"121","long_name":"121","types":["street_number"]},{"long_name":"Baker Street Northwest","types":["route"],"short_name":"Baker St NW"},{"short_name":"Centennial Park District","types":["neighborhood","political"],"long_name":"Centennial Park District"},{"short_name":"Atlanta","types":["locality","political"],"long_name":"Atlanta"},{"types":["administrative_area_level_2","political"],"long_name":"Fulton County","short_name":"Fulton County"},{"short_name":"GA","types":["administrative_area_level_1","political"],"long_name":"Georgia"},{"short_name":"US","long_name":"United States","types":["country","political"]},{"short_name":"30313","long_name":"30313","types":["postal_code"]},{"short_name":"1807","long_name":"1807","types":["postal_code_suffix"]},{"long_name":"121","short_name":"121","types":["street_number"]},{"long_name":"Baker Street Northwest","types":["route"],"short_name":"Baker St NW"},{"long_name":"Centennial Park District","short_name":"Centennial Park District","types":["neighborhood","political"]},{"long_name":"Atlanta","short_name":"Atlanta","types":["locality","political"]},{"short_name":"Fulton County","types":["administrative_area_level_2","political"],"long_name":"Fulton County"},{"long_name":"Georgia","types":["administrative_area_level_1","political"],"short_name":"GA"},{"short_name":"US","long_name":"United States","types":["country","political"]},{"long_name":"30313","types":["postal_code"],"short_name":"30313"},{"types":["latitude"],"long_name":33.7630392,"short_name":33.7630392},{"types":["longitude"],"long_name":-84.3940574,"short_name":-84.3940574}]}</v>
      </c>
      <c r="J245" s="8" t="str">
        <f t="shared" si="3"/>
        <v>[{"short_name":"121","long_name":"121","types":["street_number"]},{"long_name":"Baker Street Northwest","types":["route"],"short_name":"Baker St NW"},{"short_name":"Centennial Park District","types":["neighborhood","political"],"long_name":"Centennial Park District"},{"short_name":"Atlanta","types":["locality","political"],"long_name":"Atlanta"},{"types":["administrative_area_level_2","political"],"long_name":"Fulton County","short_name":"Fulton County"},{"short_name":"GA","types":["administrative_area_level_1","political"],"long_name":"Georgia"},{"short_name":"US","long_name":"United States","types":["country","political"]},{"short_name":"30313","long_name":"30313","types":["postal_code"]},{"short_name":"1807","long_name":"1807","types":["postal_code_suffix"]},{"long_name":"121","short_name":"121","types":["street_number"]},{"long_name":"Baker Street Northwest","types":["route"],"short_name":"Baker St NW"},{"long_name":"Centennial Park District","short_name":"Centennial Park District","types":["neighborhood","political"]},{"long_name":"Atlanta","short_name":"Atlanta","types":["locality","political"]},{"short_name":"Fulton County","types":["administrative_area_level_2","political"],"long_name":"Fulton County"},{"long_name":"Georgia","types":["administrative_area_level_1","political"],"short_name":"GA"},{"short_name":"US","long_name":"United States","types":["country","political"]},{"long_name":"30313","types":["postal_code"],"short_name":"30313"},{"types":["latitude"],"long_name":33.7630392,"short_name":33.7630392},{"types":["longitude"],"long_name":-84.3940574,"short_name":-84.3940574},{"types":["debug_info","cache_load_result"],"long_name":"hit","short_name":"hit"}]</v>
      </c>
      <c r="K245" s="9" t="b">
        <f t="shared" ref="K245:K247" si="352">NOT(AND(NOT(_xlfn.ISFORMULA(P245)),AND(NOT(_xlfn.ISFORMULA(Q245)),AND(NOT(_xlfn.ISFORMULA(R245)),AND(NOT(_xlfn.ISFORMULA(S245)),AND(NOT(_xlfn.ISFORMULA(T245)),AND(NOT(_xlfn.ISFORMULA(U245)),AND(NOT(_xlfn.ISFORMULA(V245)),AND(NOT(_xlfn.ISFORMULA(N245)),NOT(_xlfn.ISFORMULA(O245)))))))))))</f>
        <v>0</v>
      </c>
      <c r="L245" s="8" t="b">
        <f t="shared" si="4"/>
        <v>1</v>
      </c>
      <c r="M245" s="10" t="b">
        <v>1</v>
      </c>
      <c r="N245" s="10">
        <v>33.7630392</v>
      </c>
      <c r="O245" s="10">
        <v>-84.3940574</v>
      </c>
      <c r="P245" s="10" t="s">
        <v>924</v>
      </c>
      <c r="Q245" s="10" t="s">
        <v>925</v>
      </c>
      <c r="R245" s="10">
        <v>30313.0</v>
      </c>
      <c r="S245" s="10" t="s">
        <v>47</v>
      </c>
      <c r="T245" s="19">
        <v>2631.0</v>
      </c>
      <c r="U245" s="32">
        <v>1.6150694444444444</v>
      </c>
      <c r="V245" s="18">
        <v>2178.02</v>
      </c>
      <c r="X245" s="4" t="str">
        <f t="shared" si="319"/>
        <v>N/A</v>
      </c>
      <c r="Y245" s="4"/>
      <c r="Z245" s="4" t="s">
        <v>38</v>
      </c>
      <c r="AB245" s="14" t="s">
        <v>69</v>
      </c>
    </row>
    <row r="246">
      <c r="A246" s="3" t="s">
        <v>695</v>
      </c>
      <c r="B246" s="4" t="s">
        <v>926</v>
      </c>
      <c r="C246" s="4" t="s">
        <v>927</v>
      </c>
      <c r="D246" s="4" t="s">
        <v>928</v>
      </c>
      <c r="E246" s="3" t="s">
        <v>174</v>
      </c>
      <c r="F246" s="4" t="s">
        <v>926</v>
      </c>
      <c r="G246" s="6" t="str">
        <f t="shared" si="1"/>
        <v>Link</v>
      </c>
      <c r="H246" s="3" t="s">
        <v>37</v>
      </c>
      <c r="I246" s="7" t="str">
        <f t="shared" si="2"/>
        <v>{"address_components":[{"long_name":"Rocas Atoll","short_name":"Rocas Atoll","types":["establishment","natural_feature"]},{"long_name":"Brazil","short_name":"BR","types":["country","political"]},{"short_name":"698845MX+75","long_name":"698845MX+75","types":["plus_code"]},{"types":["latitude"],"long_name":-3.8667783,"short_name":-3.8667783},{"types":["longitude"],"long_name":-33.8020459,"short_name":-33.8020459}]}</v>
      </c>
      <c r="J246" s="8" t="str">
        <f t="shared" si="3"/>
        <v>[{"long_name":"Rocas Atoll","short_name":"Rocas Atoll","types":["establishment","natural_feature"]},{"long_name":"Brazil","short_name":"BR","types":["country","political"]},{"short_name":"698845MX+75","long_name":"698845MX+75","types":["plus_code"]},{"types":["latitude"],"long_name":-3.8667783,"short_name":-3.8667783},{"types":["longitude"],"long_name":-33.8020459,"short_name":-33.8020459},{"types":["debug_info","cache_load_result"],"long_name":"hit","short_name":"hit"}]</v>
      </c>
      <c r="K246" s="9" t="b">
        <f t="shared" si="352"/>
        <v>0</v>
      </c>
      <c r="L246" s="8" t="b">
        <f t="shared" si="4"/>
        <v>0</v>
      </c>
      <c r="M246" s="10" t="b">
        <v>1</v>
      </c>
      <c r="N246" s="10">
        <v>-3.8667783</v>
      </c>
      <c r="O246" s="10">
        <v>-33.8020459</v>
      </c>
      <c r="P246" s="10" t="s">
        <v>55</v>
      </c>
      <c r="Q246" s="10" t="s">
        <v>55</v>
      </c>
      <c r="R246" s="10" t="s">
        <v>55</v>
      </c>
      <c r="S246" s="10" t="s">
        <v>929</v>
      </c>
      <c r="T246" s="19" t="s">
        <v>56</v>
      </c>
      <c r="U246" s="20" t="s">
        <v>56</v>
      </c>
      <c r="V246" s="18">
        <v>6347.77</v>
      </c>
      <c r="X246" s="4" t="str">
        <f t="shared" si="319"/>
        <v>N/A</v>
      </c>
      <c r="Y246" s="4"/>
      <c r="Z246" s="4" t="s">
        <v>38</v>
      </c>
      <c r="AB246" s="14" t="s">
        <v>69</v>
      </c>
    </row>
    <row r="247" hidden="1">
      <c r="A247" s="34" t="s">
        <v>930</v>
      </c>
      <c r="B247" s="4" t="s">
        <v>931</v>
      </c>
      <c r="C247" s="4" t="s">
        <v>932</v>
      </c>
      <c r="D247" s="4"/>
      <c r="E247" s="3" t="s">
        <v>43</v>
      </c>
      <c r="F247" s="4" t="s">
        <v>933</v>
      </c>
      <c r="G247" s="6" t="str">
        <f t="shared" si="1"/>
        <v>Link</v>
      </c>
      <c r="H247" s="3" t="s">
        <v>323</v>
      </c>
      <c r="I247" s="8" t="str">
        <f t="shared" si="2"/>
        <v>{"address_components":[{"types":["street_number"],"short_name":"20200","long_name":"20200"},{"short_name":"Vashon Hwy SW","types":["route"],"long_name":"Vashon Highway Southwest"},{"types":["locality","political"],"long_name":"Vashon","short_name":"Vashon"},{"long_name":"King County","short_name":"King County","types":["administrative_area_level_2","political"]},{"long_name":"Washington","short_name":"WA","types":["administrative_area_level_1","political"]},{"long_name":"United States","short_name":"US","types":["country","political"]},{"types":["postal_code"],"long_name":"98070","short_name":"98070"},{"types":["street_number"],"long_name":"20200","short_name":"20200"},{"long_name":"Vashon Highway Southwest","types":["route"],"short_name":"Vashon Hwy SW"},{"long_name":"Vashon","short_name":"Vashon","types":["locality","political"]},{"long_name":"King County","short_name":"King County","types":["administrative_area_level_2","political"]},{"long_name":"Washington","short_name":"WA","types":["administrative_area_level_1","political"]},{"long_name":"United States","types":["country","political"],"short_name":"US"},{"long_name":"98070","types":["postal_code"],"short_name":"98070"},{"types":["latitude"],"long_name":47.422932,"short_name":47.422932},{"types":["longitude"],"long_name":-122.4600407,"short_name":-122.4600407}]}</v>
      </c>
      <c r="J247" s="8" t="str">
        <f t="shared" si="3"/>
        <v>[{"types":["street_number"],"short_name":"20200","long_name":"20200"},{"short_name":"Vashon Hwy SW","types":["route"],"long_name":"Vashon Highway Southwest"},{"types":["locality","political"],"long_name":"Vashon","short_name":"Vashon"},{"long_name":"King County","short_name":"King County","types":["administrative_area_level_2","political"]},{"long_name":"Washington","short_name":"WA","types":["administrative_area_level_1","political"]},{"long_name":"United States","short_name":"US","types":["country","political"]},{"types":["postal_code"],"long_name":"98070","short_name":"98070"},{"types":["street_number"],"long_name":"20200","short_name":"20200"},{"long_name":"Vashon Highway Southwest","types":["route"],"short_name":"Vashon Hwy SW"},{"long_name":"Vashon","short_name":"Vashon","types":["locality","political"]},{"long_name":"King County","short_name":"King County","types":["administrative_area_level_2","political"]},{"long_name":"Washington","short_name":"WA","types":["administrative_area_level_1","political"]},{"long_name":"United States","types":["country","political"],"short_name":"US"},{"long_name":"98070","types":["postal_code"],"short_name":"98070"},{"types":["latitude"],"long_name":47.422932,"short_name":47.422932},{"types":["longitude"],"long_name":-122.4600407,"short_name":-122.4600407},{"types":["debug_info","cache_load_result"],"long_name":"hit","short_name":"hit"}]</v>
      </c>
      <c r="K247" s="9" t="b">
        <f t="shared" si="352"/>
        <v>0</v>
      </c>
      <c r="L247" s="8" t="b">
        <f t="shared" si="4"/>
        <v>1</v>
      </c>
      <c r="M247" s="10" t="b">
        <v>1</v>
      </c>
      <c r="N247" s="10">
        <v>47.4232151</v>
      </c>
      <c r="O247" s="10">
        <v>-122.4601373</v>
      </c>
      <c r="P247" s="10" t="s">
        <v>719</v>
      </c>
      <c r="Q247" s="10" t="s">
        <v>193</v>
      </c>
      <c r="R247" s="10">
        <v>98070.0</v>
      </c>
      <c r="S247" s="10" t="s">
        <v>47</v>
      </c>
      <c r="T247" s="19">
        <v>21.3</v>
      </c>
      <c r="U247" s="32">
        <v>0.05061342592592592</v>
      </c>
      <c r="V247" s="18">
        <v>12.78</v>
      </c>
      <c r="W247" s="4"/>
      <c r="X247" s="4" t="str">
        <f t="shared" si="319"/>
        <v>N/A</v>
      </c>
      <c r="Y247" s="4"/>
      <c r="Z247" s="4" t="s">
        <v>38</v>
      </c>
      <c r="AA247" s="4"/>
      <c r="AB247" s="14" t="s">
        <v>934</v>
      </c>
      <c r="AC247" s="14" t="s">
        <v>348</v>
      </c>
      <c r="AD247" s="4"/>
    </row>
    <row r="248">
      <c r="A248" s="3" t="s">
        <v>695</v>
      </c>
      <c r="B248" s="4" t="s">
        <v>935</v>
      </c>
      <c r="C248" s="4" t="s">
        <v>936</v>
      </c>
      <c r="D248" s="4"/>
      <c r="E248" s="5"/>
      <c r="F248" s="4" t="s">
        <v>937</v>
      </c>
      <c r="G248" s="6" t="str">
        <f t="shared" si="1"/>
        <v>Link</v>
      </c>
      <c r="H248" s="3" t="s">
        <v>120</v>
      </c>
      <c r="I248" s="8" t="str">
        <f t="shared" si="2"/>
        <v>{"address_components":[{"short_name":"Pine Gap","long_name":"Pine Gap","types":["establishment","natural_feature"]},{"long_name":"Hugh","short_name":"Hugh","types":["locality","political"]},{"types":["administrative_area_level_2","political"],"long_name":"MacDonnell Region","short_name":"MacDonnell Region"},{"long_name":"Northern Territory","short_name":"NT","types":["administrative_area_level_1","political"]},{"types":["country","political"],"long_name":"Australia","short_name":"AU"},{"types":["postal_code"],"long_name":"0872","short_name":"0872"},{"long_name":"5Q8M5PMM+88","short_name":"5Q8M5PMM+88","types":["plus_code"]},{"types":["latitude"],"long_name":-23.8166667,"short_name":-23.8166667},{"types":["longitude"],"long_name":133.7333333,"short_name":133.7333333}],"distance_from":{"mi":{"flying":{"2116 4th Ave, Seattle, WA, 98121":8051.5111784955325},"driving":{"2116 4th Ave, Seattle, WA, 98121":"GOOGLE_MAPS_ERROR_CACHED - No route found!"}}},"duration_from":{"days":{"driving":{"2116 4th Ave, Seattle, WA, 98121":"GOOGLE_MAPS_ERROR_CACHED - No route found!"}}}}</v>
      </c>
      <c r="J248" s="8" t="str">
        <f t="shared" si="3"/>
        <v>[{"short_name":"Pine Gap","long_name":"Pine Gap","types":["establishment","natural_feature"]},{"long_name":"Hugh","short_name":"Hugh","types":["locality","political"]},{"types":["administrative_area_level_2","political"],"long_name":"MacDonnell Region","short_name":"MacDonnell Region"},{"long_name":"Northern Territory","short_name":"NT","types":["administrative_area_level_1","political"]},{"types":["country","political"],"long_name":"Australia","short_name":"AU"},{"types":["postal_code"],"long_name":"0872","short_name":"0872"},{"long_name":"5Q8M5PMM+88","short_name":"5Q8M5PMM+88","types":["plus_code"]},{"types":["latitude"],"long_name":-23.8166667,"short_name":-23.8166667},{"types":["longitude"],"long_name":133.7333333,"short_name":133.7333333},{"types":["debug_info","cache_load_result"],"long_name":"hit","short_name":"hit"}]</v>
      </c>
      <c r="K248" s="9" t="b">
        <f t="shared" ref="K248:K249" si="353">NOT(AND(NOT(_xlfn.ISFORMULA(P248)),AND(NOT(_xlfn.ISFORMULA(Q248)),AND(NOT(_xlfn.ISFORMULA(R248)),AND(NOT(_xlfn.ISFORMULA(S248)),AND(NOT(_xlfn.ISFORMULA(T248)),AND(NOT(_xlfn.ISFORMULA(U248)),AND(NOT(_xlfn.ISFORMULA(V248))))))))))</f>
        <v>1</v>
      </c>
      <c r="L248" s="8" t="b">
        <f t="shared" si="4"/>
        <v>0</v>
      </c>
      <c r="M248" s="10" t="b">
        <v>1</v>
      </c>
      <c r="N248" s="8">
        <f t="shared" ref="N248:N249" si="354">GOOGLEMAPS_GET_ADDRESS_LATITUDE(F248,true)</f>
        <v>-23.8166667</v>
      </c>
      <c r="O248" s="8">
        <f t="shared" ref="O248:O249" si="355">GOOGLEMAPS_GET_ADDRESS_LONGITUDE(F248,true)</f>
        <v>133.7333333</v>
      </c>
      <c r="P248" s="8" t="str">
        <f t="shared" ref="P248:P249" si="356">GOOGLEMAPS_GET_ADDRESS_CITY(F248,true,false)</f>
        <v>Hugh</v>
      </c>
      <c r="Q248" s="8" t="str">
        <f t="shared" ref="Q248:Q249" si="357">GOOGLEMAPS_GET_ADDRESS_STATE(F248,true,false)</f>
        <v>Northern Territory</v>
      </c>
      <c r="R248" s="8" t="str">
        <f t="shared" ref="R248:R249" si="358">GOOGLEMAPS_GET_ADDRESS_POSTAL_CODE(F248,false,false)</f>
        <v>0872</v>
      </c>
      <c r="S248" s="8" t="str">
        <f t="shared" ref="S248:S249" si="359">GOOGLEMAPS_GET_ADDRESS_COUNTRY(F248,true,false)</f>
        <v>Australia</v>
      </c>
      <c r="T248" s="11" t="str">
        <f t="shared" ref="T248:T249" si="360">IFERROR(GOOGLEMAPS_DISTANCE("2116 4th Ave, Seattle, WA, 98121", F248, "driving")+0,"Not Driveable")</f>
        <v>Not Driveable</v>
      </c>
      <c r="U248" s="12" t="str">
        <f t="shared" ref="U248:U249" si="361">iferror(GOOGLEMAPS_DURATION("2116 4th Ave, Seattle, WA, 98121", F248, "driving")+0,"Not Driveable")</f>
        <v>Not Driveable</v>
      </c>
      <c r="V248" s="13">
        <f t="shared" ref="V248:V249" si="362">GOOGLEMAPS_DISTANCE("2116 4th Ave, Seattle, WA, 98121", F248, "flying")+0</f>
        <v>8051.511178</v>
      </c>
      <c r="X248" s="4" t="str">
        <f t="shared" si="319"/>
        <v>N/A</v>
      </c>
      <c r="Y248" s="4"/>
      <c r="Z248" s="4" t="s">
        <v>38</v>
      </c>
    </row>
    <row r="249">
      <c r="A249" s="34" t="s">
        <v>930</v>
      </c>
      <c r="B249" s="4" t="s">
        <v>938</v>
      </c>
      <c r="C249" s="4"/>
      <c r="D249" s="4"/>
      <c r="E249" s="3" t="s">
        <v>43</v>
      </c>
      <c r="F249" s="4" t="s">
        <v>939</v>
      </c>
      <c r="G249" s="6" t="str">
        <f t="shared" si="1"/>
        <v>Link</v>
      </c>
      <c r="H249" s="3" t="s">
        <v>323</v>
      </c>
      <c r="I249" s="8" t="str">
        <f t="shared" si="2"/>
        <v>{"address_components":[{"types":["establishment","park","point_of_interest"],"long_name":"Northern State Recreation Area","short_name":"Northern State Recreation Area"},{"short_name":"25625","types":["street_number"],"long_name":"25625"},{"short_name":"Helmick Rd","long_name":"Helmick Road","types":["route"]},{"short_name":"Sedro-Woolley","types":["locality","political"],"long_name":"Sedro-Woolley"},{"long_name":"Skagit County","short_name":"Skagit County","types":["administrative_area_level_2","political"]},{"short_name":"WA","types":["administrative_area_level_1","political"],"long_name":"Washington"},{"long_name":"United States","short_name":"US","types":["country","political"]},{"types":["postal_code"],"short_name":"98284","long_name":"98284"},{"types":["street_number"],"long_name":"25625","short_name":"25625"},{"short_name":"Helmick Rd","types":["route"],"long_name":"Helmick Road"},{"short_name":"Sedro-Woolley","long_name":"Sedro-Woolley","types":["locality","political"]},{"short_name":"Skagit County","long_name":"Skagit County","types":["administrative_area_level_2","political"]},{"types":["administrative_area_level_1","political"],"long_name":"Washington","short_name":"WA"},{"short_name":"US","long_name":"United States","types":["country","political"]},{"long_name":"98284","types":["postal_code"],"short_name":"98284"},{"types":["latitude"],"long_name":48.5282306,"short_name":48.5282306},{"types":["longitude"],"long_name":-122.1950017,"short_name":-122.1950017}],"distance_from":{"mi":{"driving":{"2116 4th Ave, Seattle, WA, 98121":74.92326046702375},"flying":{"2116 4th Ave, Seattle, WA, 98121":63.499322703717056}}},"duration_from":{"days":{"driving":{"2116 4th Ave, Seattle, WA, 98121":0.05608796296296296}}}}</v>
      </c>
      <c r="J249" s="8" t="str">
        <f t="shared" si="3"/>
        <v>[{"types":["establishment","park","point_of_interest"],"long_name":"Northern State Recreation Area","short_name":"Northern State Recreation Area"},{"short_name":"25625","types":["street_number"],"long_name":"25625"},{"short_name":"Helmick Rd","long_name":"Helmick Road","types":["route"]},{"short_name":"Sedro-Woolley","types":["locality","political"],"long_name":"Sedro-Woolley"},{"long_name":"Skagit County","short_name":"Skagit County","types":["administrative_area_level_2","political"]},{"short_name":"WA","types":["administrative_area_level_1","political"],"long_name":"Washington"},{"long_name":"United States","short_name":"US","types":["country","political"]},{"types":["postal_code"],"short_name":"98284","long_name":"98284"},{"types":["street_number"],"long_name":"25625","short_name":"25625"},{"short_name":"Helmick Rd","types":["route"],"long_name":"Helmick Road"},{"short_name":"Sedro-Woolley","long_name":"Sedro-Woolley","types":["locality","political"]},{"short_name":"Skagit County","long_name":"Skagit County","types":["administrative_area_level_2","political"]},{"types":["administrative_area_level_1","political"],"long_name":"Washington","short_name":"WA"},{"short_name":"US","long_name":"United States","types":["country","political"]},{"long_name":"98284","types":["postal_code"],"short_name":"98284"},{"types":["latitude"],"long_name":48.5282306,"short_name":48.5282306},{"types":["longitude"],"long_name":-122.1950017,"short_name":-122.1950017},{"types":["debug_info","cache_load_result"],"long_name":"hit","short_name":"hit"}]</v>
      </c>
      <c r="K249" s="9" t="b">
        <f t="shared" si="353"/>
        <v>1</v>
      </c>
      <c r="L249" s="8" t="b">
        <f t="shared" si="4"/>
        <v>0</v>
      </c>
      <c r="M249" s="10" t="b">
        <v>1</v>
      </c>
      <c r="N249" s="8">
        <f t="shared" si="354"/>
        <v>48.5282306</v>
      </c>
      <c r="O249" s="8">
        <f t="shared" si="355"/>
        <v>-122.1950017</v>
      </c>
      <c r="P249" s="8" t="str">
        <f t="shared" si="356"/>
        <v>Sedro-Woolley</v>
      </c>
      <c r="Q249" s="8" t="str">
        <f t="shared" si="357"/>
        <v>Washington</v>
      </c>
      <c r="R249" s="8" t="str">
        <f t="shared" si="358"/>
        <v>98284</v>
      </c>
      <c r="S249" s="8" t="str">
        <f t="shared" si="359"/>
        <v>United States</v>
      </c>
      <c r="T249" s="11">
        <f t="shared" si="360"/>
        <v>74.92326047</v>
      </c>
      <c r="U249" s="12">
        <f t="shared" si="361"/>
        <v>0.05608796296</v>
      </c>
      <c r="V249" s="13">
        <f t="shared" si="362"/>
        <v>63.4993227</v>
      </c>
      <c r="W249" s="4" t="s">
        <v>720</v>
      </c>
      <c r="X249" s="4">
        <v>5.0</v>
      </c>
      <c r="Y249" s="25" t="s">
        <v>844</v>
      </c>
      <c r="Z249" s="21">
        <v>44528.0</v>
      </c>
      <c r="AA249" s="4"/>
      <c r="AB249" s="4"/>
      <c r="AC249" s="4"/>
      <c r="AD249" s="4"/>
      <c r="AF249" s="4" t="s">
        <v>940</v>
      </c>
    </row>
    <row r="250" hidden="1">
      <c r="A250" s="34" t="s">
        <v>930</v>
      </c>
      <c r="B250" s="4" t="s">
        <v>941</v>
      </c>
      <c r="C250" s="4" t="s">
        <v>697</v>
      </c>
      <c r="D250" s="4"/>
      <c r="E250" s="3" t="s">
        <v>43</v>
      </c>
      <c r="F250" s="4" t="s">
        <v>941</v>
      </c>
      <c r="G250" s="6" t="str">
        <f t="shared" si="1"/>
        <v>Link</v>
      </c>
      <c r="H250" s="3" t="s">
        <v>187</v>
      </c>
      <c r="I250" s="8" t="str">
        <f t="shared" si="2"/>
        <v>{"address_components":[{"types":["locality","political"],"long_name":"Bisbee","short_name":"Bisbee"},{"types":["administrative_area_level_2","political"],"long_name":"Cochise County","short_name":"Cochise County"},{"long_name":"Arizona","short_name":"AZ","types":["administrative_area_level_1","political"]},{"long_name":"United States","short_name":"US","types":["country","political"]},{"short_name":"85603","types":["postal_code"],"long_name":"85603"},{"long_name":"647","short_name":"647","types":["street_number"]},{"types":["route"],"short_name":"Tombstone Canyon","long_name":"Tombstone Canyon"},{"types":["locality","political"],"long_name":"Bisbee","short_name":"Bisbee"},{"short_name":"Cochise County","types":["administrative_area_level_2","political"],"long_name":"Cochise County"},{"long_name":"Arizona","short_name":"AZ","types":["administrative_area_level_1","political"]},{"long_name":"United States","types":["country","political"],"short_name":"US"},{"types":["postal_code"],"long_name":"85603","short_name":"85603"},{"types":["latitude"],"long_name":31.4481547,"short_name":31.4481547},{"types":["longitude"],"long_name":-109.9284084,"short_name":-109.9284084}]}</v>
      </c>
      <c r="J250" s="8" t="str">
        <f t="shared" si="3"/>
        <v>[{"types":["locality","political"],"long_name":"Bisbee","short_name":"Bisbee"},{"types":["administrative_area_level_2","political"],"long_name":"Cochise County","short_name":"Cochise County"},{"long_name":"Arizona","short_name":"AZ","types":["administrative_area_level_1","political"]},{"long_name":"United States","short_name":"US","types":["country","political"]},{"short_name":"85603","types":["postal_code"],"long_name":"85603"},{"long_name":"647","short_name":"647","types":["street_number"]},{"types":["route"],"short_name":"Tombstone Canyon","long_name":"Tombstone Canyon"},{"types":["locality","political"],"long_name":"Bisbee","short_name":"Bisbee"},{"short_name":"Cochise County","types":["administrative_area_level_2","political"],"long_name":"Cochise County"},{"long_name":"Arizona","short_name":"AZ","types":["administrative_area_level_1","political"]},{"long_name":"United States","types":["country","political"],"short_name":"US"},{"types":["postal_code"],"long_name":"85603","short_name":"85603"},{"types":["latitude"],"long_name":31.4481547,"short_name":31.4481547},{"types":["longitude"],"long_name":-109.9284084,"short_name":-109.9284084},{"types":["debug_info","cache_load_result"],"long_name":"hit","short_name":"hit"}]</v>
      </c>
      <c r="K250" s="9" t="b">
        <f t="shared" ref="K250:K306" si="363">NOT(AND(NOT(_xlfn.ISFORMULA(P250)),AND(NOT(_xlfn.ISFORMULA(Q250)),AND(NOT(_xlfn.ISFORMULA(R250)),AND(NOT(_xlfn.ISFORMULA(S250)),AND(NOT(_xlfn.ISFORMULA(T250)),AND(NOT(_xlfn.ISFORMULA(U250)),AND(NOT(_xlfn.ISFORMULA(V250)),AND(NOT(_xlfn.ISFORMULA(N250)),NOT(_xlfn.ISFORMULA(O250)))))))))))</f>
        <v>0</v>
      </c>
      <c r="L250" s="8" t="b">
        <f t="shared" si="4"/>
        <v>1</v>
      </c>
      <c r="M250" s="10" t="b">
        <v>1</v>
      </c>
      <c r="N250" s="10">
        <v>31.4481547</v>
      </c>
      <c r="O250" s="10">
        <v>-109.9284084</v>
      </c>
      <c r="P250" s="10" t="s">
        <v>942</v>
      </c>
      <c r="Q250" s="10" t="s">
        <v>943</v>
      </c>
      <c r="R250" s="10">
        <v>85603.0</v>
      </c>
      <c r="S250" s="10" t="s">
        <v>47</v>
      </c>
      <c r="T250" s="19">
        <v>1622.1</v>
      </c>
      <c r="U250" s="32">
        <v>1.0473379629629629</v>
      </c>
      <c r="V250" s="18">
        <v>1294.47</v>
      </c>
      <c r="W250" s="4"/>
      <c r="X250" s="4" t="str">
        <f t="shared" ref="X250:X335" si="364">if(W250="YES","UNKNOWN","N/A")</f>
        <v>N/A</v>
      </c>
      <c r="Y250" s="4"/>
      <c r="Z250" s="4" t="s">
        <v>38</v>
      </c>
      <c r="AB250" s="4" t="s">
        <v>944</v>
      </c>
      <c r="AE250" s="4"/>
      <c r="AF250" s="14" t="s">
        <v>945</v>
      </c>
    </row>
    <row r="251" hidden="1">
      <c r="A251" s="34" t="s">
        <v>930</v>
      </c>
      <c r="B251" s="4" t="s">
        <v>946</v>
      </c>
      <c r="C251" s="4" t="s">
        <v>697</v>
      </c>
      <c r="D251" s="4"/>
      <c r="E251" s="3" t="s">
        <v>43</v>
      </c>
      <c r="F251" s="4" t="s">
        <v>946</v>
      </c>
      <c r="G251" s="6" t="str">
        <f t="shared" si="1"/>
        <v>Link</v>
      </c>
      <c r="H251" s="3" t="s">
        <v>187</v>
      </c>
      <c r="I251" s="8" t="str">
        <f t="shared" si="2"/>
        <v>{"address_components":[{"types":["locality","political"],"long_name":"Eureka Springs","short_name":"Eureka Springs"},{"types":["administrative_area_level_2","political"],"long_name":"Carroll County","short_name":"Carroll County"},{"short_name":"AR","types":["administrative_area_level_1","political"],"long_name":"Arkansas"},{"short_name":"US","types":["country","political"],"long_name":"United States"},{"short_name":"35","types":["street_number"],"long_name":"35"},{"long_name":"River Run Rd","short_name":"River Run Rd","types":["route"]},{"types":["locality","political"],"long_name":"Eureka Springs","short_name":"Eureka Springs"},{"long_name":"Carroll County","short_name":"Carroll County","types":["administrative_area_level_2","political"]},{"long_name":"Arkansas","short_name":"AR","types":["administrative_area_level_1","political"]},{"short_name":"US","long_name":"United States","types":["country","political"]},{"types":["postal_code"],"long_name":"72632","short_name":"72632"},{"types":["latitude"],"long_name":36.4006499,"short_name":36.4006499},{"types":["longitude"],"long_name":-93.7392889,"short_name":-93.7392889}]}</v>
      </c>
      <c r="J251" s="8" t="str">
        <f t="shared" si="3"/>
        <v>[{"types":["locality","political"],"long_name":"Eureka Springs","short_name":"Eureka Springs"},{"types":["administrative_area_level_2","political"],"long_name":"Carroll County","short_name":"Carroll County"},{"short_name":"AR","types":["administrative_area_level_1","political"],"long_name":"Arkansas"},{"short_name":"US","types":["country","political"],"long_name":"United States"},{"short_name":"35","types":["street_number"],"long_name":"35"},{"long_name":"River Run Rd","short_name":"River Run Rd","types":["route"]},{"types":["locality","political"],"long_name":"Eureka Springs","short_name":"Eureka Springs"},{"long_name":"Carroll County","short_name":"Carroll County","types":["administrative_area_level_2","political"]},{"long_name":"Arkansas","short_name":"AR","types":["administrative_area_level_1","political"]},{"short_name":"US","long_name":"United States","types":["country","political"]},{"types":["postal_code"],"long_name":"72632","short_name":"72632"},{"types":["latitude"],"long_name":36.4006499,"short_name":36.4006499},{"types":["longitude"],"long_name":-93.7392889,"short_name":-93.7392889},{"types":["debug_info","cache_load_result"],"long_name":"hit","short_name":"hit"}]</v>
      </c>
      <c r="K251" s="9" t="b">
        <f t="shared" si="363"/>
        <v>0</v>
      </c>
      <c r="L251" s="8" t="b">
        <f t="shared" si="4"/>
        <v>1</v>
      </c>
      <c r="M251" s="10" t="b">
        <v>1</v>
      </c>
      <c r="N251" s="10">
        <v>36.4006499</v>
      </c>
      <c r="O251" s="10">
        <v>-93.7392889</v>
      </c>
      <c r="P251" s="10" t="s">
        <v>947</v>
      </c>
      <c r="Q251" s="10" t="s">
        <v>948</v>
      </c>
      <c r="R251" s="10">
        <v>72632.0</v>
      </c>
      <c r="S251" s="10" t="s">
        <v>47</v>
      </c>
      <c r="T251" s="19">
        <v>2061.3</v>
      </c>
      <c r="U251" s="32">
        <v>1.2944444444444445</v>
      </c>
      <c r="V251" s="18">
        <v>1647.04</v>
      </c>
      <c r="W251" s="4"/>
      <c r="X251" s="4" t="str">
        <f t="shared" si="364"/>
        <v>N/A</v>
      </c>
      <c r="Y251" s="4"/>
      <c r="Z251" s="4" t="s">
        <v>38</v>
      </c>
      <c r="AA251" s="4"/>
      <c r="AB251" s="4" t="s">
        <v>949</v>
      </c>
      <c r="AE251" s="4"/>
      <c r="AF251" s="14" t="s">
        <v>950</v>
      </c>
    </row>
    <row r="252" hidden="1">
      <c r="A252" s="34" t="s">
        <v>930</v>
      </c>
      <c r="B252" s="4" t="s">
        <v>951</v>
      </c>
      <c r="C252" s="4" t="s">
        <v>697</v>
      </c>
      <c r="D252" s="4"/>
      <c r="E252" s="3" t="s">
        <v>43</v>
      </c>
      <c r="F252" s="4" t="s">
        <v>951</v>
      </c>
      <c r="G252" s="6" t="str">
        <f t="shared" si="1"/>
        <v>Link</v>
      </c>
      <c r="H252" s="3" t="s">
        <v>187</v>
      </c>
      <c r="I252" s="8" t="str">
        <f t="shared" si="2"/>
        <v>{"address_components":[{"long_name":"War Eagle","short_name":"War Eagle","types":["locality","political"]},{"long_name":"Benton County","short_name":"Benton County","types":["administrative_area_level_2","political"]},{"long_name":"Arkansas","short_name":"AR","types":["administrative_area_level_1","political"]},{"long_name":"United States","short_name":"US","types":["country","political"]},{"short_name":"72756","types":["postal_code"],"long_name":"72756"},{"long_name":"19918","types":["street_number"],"short_name":"19918"},{"long_name":"Bettis Hill Road","short_name":"Bettis Hill Rd","types":["route"]},{"long_name":"Little Flock","short_name":"Little Flock","types":["locality","political"]},{"short_name":"Benton County","long_name":"Benton County","types":["administrative_area_level_2","political"]},{"long_name":"Arkansas","short_name":"AR","types":["administrative_area_level_1","political"]},{"long_name":"United States","short_name":"US","types":["country","political"]},{"short_name":"72756","types":["postal_code"],"long_name":"72756"},{"types":["latitude"],"long_name":36.267778,"short_name":36.267778},{"types":["longitude"],"long_name":-93.940833,"short_name":-93.940833}]}</v>
      </c>
      <c r="J252" s="8" t="str">
        <f t="shared" si="3"/>
        <v>[{"long_name":"War Eagle","short_name":"War Eagle","types":["locality","political"]},{"long_name":"Benton County","short_name":"Benton County","types":["administrative_area_level_2","political"]},{"long_name":"Arkansas","short_name":"AR","types":["administrative_area_level_1","political"]},{"long_name":"United States","short_name":"US","types":["country","political"]},{"short_name":"72756","types":["postal_code"],"long_name":"72756"},{"long_name":"19918","types":["street_number"],"short_name":"19918"},{"long_name":"Bettis Hill Road","short_name":"Bettis Hill Rd","types":["route"]},{"long_name":"Little Flock","short_name":"Little Flock","types":["locality","political"]},{"short_name":"Benton County","long_name":"Benton County","types":["administrative_area_level_2","political"]},{"long_name":"Arkansas","short_name":"AR","types":["administrative_area_level_1","political"]},{"long_name":"United States","short_name":"US","types":["country","political"]},{"short_name":"72756","types":["postal_code"],"long_name":"72756"},{"types":["latitude"],"long_name":36.267778,"short_name":36.267778},{"types":["longitude"],"long_name":-93.940833,"short_name":-93.940833},{"types":["debug_info","cache_load_result"],"long_name":"hit","short_name":"hit"}]</v>
      </c>
      <c r="K252" s="9" t="b">
        <f t="shared" si="363"/>
        <v>0</v>
      </c>
      <c r="L252" s="8" t="b">
        <f t="shared" si="4"/>
        <v>1</v>
      </c>
      <c r="M252" s="10" t="b">
        <v>1</v>
      </c>
      <c r="N252" s="10">
        <v>36.267778</v>
      </c>
      <c r="O252" s="10">
        <v>-93.940833</v>
      </c>
      <c r="P252" s="10" t="s">
        <v>952</v>
      </c>
      <c r="Q252" s="10" t="s">
        <v>948</v>
      </c>
      <c r="R252" s="10">
        <v>72756.0</v>
      </c>
      <c r="S252" s="10" t="s">
        <v>47</v>
      </c>
      <c r="T252" s="19">
        <v>2091.6</v>
      </c>
      <c r="U252" s="32">
        <v>1.2847453703703704</v>
      </c>
      <c r="V252" s="18">
        <v>1643.65</v>
      </c>
      <c r="W252" s="4"/>
      <c r="X252" s="4" t="str">
        <f t="shared" si="364"/>
        <v>N/A</v>
      </c>
      <c r="Y252" s="4"/>
      <c r="Z252" s="4" t="s">
        <v>38</v>
      </c>
      <c r="AA252" s="4"/>
      <c r="AB252" s="4" t="s">
        <v>953</v>
      </c>
      <c r="AE252" s="4"/>
      <c r="AF252" s="14" t="s">
        <v>954</v>
      </c>
    </row>
    <row r="253" hidden="1">
      <c r="A253" s="34" t="s">
        <v>930</v>
      </c>
      <c r="B253" s="4" t="s">
        <v>955</v>
      </c>
      <c r="C253" s="4" t="s">
        <v>697</v>
      </c>
      <c r="D253" s="4"/>
      <c r="E253" s="3" t="s">
        <v>43</v>
      </c>
      <c r="F253" s="4" t="s">
        <v>955</v>
      </c>
      <c r="G253" s="6" t="str">
        <f t="shared" si="1"/>
        <v>Link</v>
      </c>
      <c r="H253" s="3" t="s">
        <v>187</v>
      </c>
      <c r="I253" s="8" t="str">
        <f t="shared" si="2"/>
        <v>{"address_components":[{"short_name":"Kernville","long_name":"Kernville","types":["locality","political"]},{"long_name":"Kern County","types":["administrative_area_level_2","political"],"short_name":"Kern County"},{"long_name":"California","types":["administrative_area_level_1","political"],"short_name":"CA"},{"long_name":"United States","types":["country","political"],"short_name":"US"},{"long_name":"11023","types":["street_number"],"short_name":"11023"},{"long_name":"Kernville Road","types":["route"],"short_name":"Kernville Rd"},{"long_name":"Kernville","types":["locality","political"],"short_name":"Kernville"},{"long_name":"Kern County","types":["administrative_area_level_2","political"],"short_name":"Kern County"},{"long_name":"California","types":["administrative_area_level_1","political"],"short_name":"CA"},{"short_name":"US","long_name":"United States","types":["country","political"]},{"short_name":"93238","long_name":"93238","types":["postal_code"]},{"types":["latitude"],"long_name":35.75467320000001,"short_name":35.75467320000001},{"types":["longitude"],"long_name":-118.4253627,"short_name":-118.4253627}]}</v>
      </c>
      <c r="J253" s="8" t="str">
        <f t="shared" si="3"/>
        <v>[{"short_name":"Kernville","long_name":"Kernville","types":["locality","political"]},{"long_name":"Kern County","types":["administrative_area_level_2","political"],"short_name":"Kern County"},{"long_name":"California","types":["administrative_area_level_1","political"],"short_name":"CA"},{"long_name":"United States","types":["country","political"],"short_name":"US"},{"long_name":"11023","types":["street_number"],"short_name":"11023"},{"long_name":"Kernville Road","types":["route"],"short_name":"Kernville Rd"},{"long_name":"Kernville","types":["locality","political"],"short_name":"Kernville"},{"long_name":"Kern County","types":["administrative_area_level_2","political"],"short_name":"Kern County"},{"long_name":"California","types":["administrative_area_level_1","political"],"short_name":"CA"},{"short_name":"US","long_name":"United States","types":["country","political"]},{"short_name":"93238","long_name":"93238","types":["postal_code"]},{"types":["latitude"],"long_name":35.75467320000001,"short_name":35.75467320000001},{"types":["longitude"],"long_name":-118.4253627,"short_name":-118.4253627},{"types":["debug_info","cache_load_result"],"long_name":"hit","short_name":"hit"}]</v>
      </c>
      <c r="K253" s="9" t="b">
        <f t="shared" si="363"/>
        <v>0</v>
      </c>
      <c r="L253" s="8" t="b">
        <f t="shared" si="4"/>
        <v>1</v>
      </c>
      <c r="M253" s="10" t="b">
        <v>1</v>
      </c>
      <c r="N253" s="10">
        <v>35.7546732</v>
      </c>
      <c r="O253" s="10">
        <v>-118.4253627</v>
      </c>
      <c r="P253" s="10" t="s">
        <v>956</v>
      </c>
      <c r="Q253" s="10" t="s">
        <v>197</v>
      </c>
      <c r="R253" s="10">
        <v>93238.0</v>
      </c>
      <c r="S253" s="10" t="s">
        <v>47</v>
      </c>
      <c r="T253" s="19">
        <v>1080.9</v>
      </c>
      <c r="U253" s="32">
        <v>0.7197800925925926</v>
      </c>
      <c r="V253" s="18">
        <v>843.68</v>
      </c>
      <c r="W253" s="4"/>
      <c r="X253" s="4" t="str">
        <f t="shared" si="364"/>
        <v>N/A</v>
      </c>
      <c r="Y253" s="4"/>
      <c r="Z253" s="4" t="s">
        <v>38</v>
      </c>
      <c r="AA253" s="4"/>
      <c r="AB253" s="4" t="s">
        <v>957</v>
      </c>
      <c r="AE253" s="4"/>
      <c r="AF253" s="14" t="s">
        <v>958</v>
      </c>
    </row>
    <row r="254" hidden="1">
      <c r="A254" s="34" t="s">
        <v>930</v>
      </c>
      <c r="B254" s="4" t="s">
        <v>959</v>
      </c>
      <c r="C254" s="4" t="s">
        <v>697</v>
      </c>
      <c r="D254" s="4"/>
      <c r="E254" s="3" t="s">
        <v>43</v>
      </c>
      <c r="F254" s="4" t="s">
        <v>959</v>
      </c>
      <c r="G254" s="6" t="str">
        <f t="shared" si="1"/>
        <v>Link</v>
      </c>
      <c r="H254" s="3" t="s">
        <v>187</v>
      </c>
      <c r="I254" s="8" t="str">
        <f t="shared" si="2"/>
        <v>{"address_components":[{"types":["locality","political"],"long_name":"Capitola","short_name":"Capitola"},{"long_name":"Santa Cruz County","short_name":"Santa Cruz County","types":["administrative_area_level_2","political"]},{"long_name":"California","short_name":"CA","types":["administrative_area_level_1","political"]},{"short_name":"US","long_name":"United States","types":["country","political"]},{"short_name":"504","long_name":"504","types":["street_number"]},{"long_name":"Beulah Drive","types":["route"],"short_name":"Beulah Dr"},{"long_name":"Capitola","types":["locality","political"],"short_name":"Capitola"},{"short_name":"Santa Cruz County","types":["administrative_area_level_2","political"],"long_name":"Santa Cruz County"},{"long_name":"California","types":["administrative_area_level_1","political"],"short_name":"CA"},{"short_name":"US","types":["country","political"],"long_name":"United States"},{"types":["postal_code"],"long_name":"95010","short_name":"95010"},{"long_name":"3333","short_name":"3333","types":["postal_code_suffix"]},{"types":["latitude"],"long_name":36.9752283,"short_name":36.9752283},{"types":["longitude"],"long_name":-121.953293,"short_name":-121.953293}]}</v>
      </c>
      <c r="J254" s="8" t="str">
        <f t="shared" si="3"/>
        <v>[{"types":["locality","political"],"long_name":"Capitola","short_name":"Capitola"},{"long_name":"Santa Cruz County","short_name":"Santa Cruz County","types":["administrative_area_level_2","political"]},{"long_name":"California","short_name":"CA","types":["administrative_area_level_1","political"]},{"short_name":"US","long_name":"United States","types":["country","political"]},{"short_name":"504","long_name":"504","types":["street_number"]},{"long_name":"Beulah Drive","types":["route"],"short_name":"Beulah Dr"},{"long_name":"Capitola","types":["locality","political"],"short_name":"Capitola"},{"short_name":"Santa Cruz County","types":["administrative_area_level_2","political"],"long_name":"Santa Cruz County"},{"long_name":"California","types":["administrative_area_level_1","political"],"short_name":"CA"},{"short_name":"US","types":["country","political"],"long_name":"United States"},{"types":["postal_code"],"long_name":"95010","short_name":"95010"},{"long_name":"3333","short_name":"3333","types":["postal_code_suffix"]},{"types":["latitude"],"long_name":36.9752283,"short_name":36.9752283},{"types":["longitude"],"long_name":-121.953293,"short_name":-121.953293},{"types":["debug_info","cache_load_result"],"long_name":"hit","short_name":"hit"}]</v>
      </c>
      <c r="K254" s="9" t="b">
        <f t="shared" si="363"/>
        <v>0</v>
      </c>
      <c r="L254" s="8" t="b">
        <f t="shared" si="4"/>
        <v>1</v>
      </c>
      <c r="M254" s="10" t="b">
        <v>1</v>
      </c>
      <c r="N254" s="10">
        <v>36.9752283</v>
      </c>
      <c r="O254" s="10">
        <v>-121.953293</v>
      </c>
      <c r="P254" s="10" t="s">
        <v>960</v>
      </c>
      <c r="Q254" s="10" t="s">
        <v>197</v>
      </c>
      <c r="R254" s="10">
        <v>95010.0</v>
      </c>
      <c r="S254" s="10" t="s">
        <v>47</v>
      </c>
      <c r="T254" s="19">
        <v>870.0</v>
      </c>
      <c r="U254" s="32">
        <v>0.5900347222222222</v>
      </c>
      <c r="V254" s="18">
        <v>735.35</v>
      </c>
      <c r="W254" s="4"/>
      <c r="X254" s="4" t="str">
        <f t="shared" si="364"/>
        <v>N/A</v>
      </c>
      <c r="Y254" s="4"/>
      <c r="Z254" s="4" t="s">
        <v>38</v>
      </c>
      <c r="AA254" s="4"/>
      <c r="AB254" s="4" t="s">
        <v>961</v>
      </c>
      <c r="AE254" s="4"/>
      <c r="AF254" s="14" t="s">
        <v>962</v>
      </c>
    </row>
    <row r="255" hidden="1">
      <c r="A255" s="34" t="s">
        <v>930</v>
      </c>
      <c r="B255" s="4" t="s">
        <v>963</v>
      </c>
      <c r="C255" s="4" t="s">
        <v>697</v>
      </c>
      <c r="D255" s="4"/>
      <c r="E255" s="3" t="s">
        <v>43</v>
      </c>
      <c r="F255" s="4" t="s">
        <v>963</v>
      </c>
      <c r="G255" s="6" t="str">
        <f t="shared" si="1"/>
        <v>Link</v>
      </c>
      <c r="H255" s="3" t="s">
        <v>187</v>
      </c>
      <c r="I255" s="8" t="str">
        <f t="shared" si="2"/>
        <v>{"address_components":[{"short_name":"Healdsburg","types":["locality","political"],"long_name":"Healdsburg"},{"long_name":"Sonoma County","short_name":"Sonoma County","types":["administrative_area_level_2","political"]},{"long_name":"California","short_name":"CA","types":["administrative_area_level_1","political"]},{"types":["country","political"],"long_name":"United States","short_name":"US"},{"long_name":"95448","short_name":"95448","types":["postal_code"]},{"short_name":"185","types":["street_number"],"long_name":"185"},{"short_name":"Healdsburg Ave","long_name":"Healdsburg Avenue","types":["route"]},{"long_name":"Healdsburg","short_name":"Healdsburg","types":["locality","political"]},{"short_name":"Sonoma County","types":["administrative_area_level_2","political"],"long_name":"Sonoma County"},{"short_name":"CA","types":["administrative_area_level_1","political"],"long_name":"California"},{"long_name":"United States","short_name":"US","types":["country","political"]},{"types":["postal_code"],"long_name":"95448","short_name":"95448"},{"types":["postal_code_suffix"],"long_name":"4000","short_name":"4000"},{"types":["latitude"],"long_name":38.6081693,"short_name":38.6081693},{"types":["longitude"],"long_name":-122.8700509,"short_name":-122.8700509}]}</v>
      </c>
      <c r="J255" s="8" t="str">
        <f t="shared" si="3"/>
        <v>[{"short_name":"Healdsburg","types":["locality","political"],"long_name":"Healdsburg"},{"long_name":"Sonoma County","short_name":"Sonoma County","types":["administrative_area_level_2","political"]},{"long_name":"California","short_name":"CA","types":["administrative_area_level_1","political"]},{"types":["country","political"],"long_name":"United States","short_name":"US"},{"long_name":"95448","short_name":"95448","types":["postal_code"]},{"short_name":"185","types":["street_number"],"long_name":"185"},{"short_name":"Healdsburg Ave","long_name":"Healdsburg Avenue","types":["route"]},{"long_name":"Healdsburg","short_name":"Healdsburg","types":["locality","political"]},{"short_name":"Sonoma County","types":["administrative_area_level_2","political"],"long_name":"Sonoma County"},{"short_name":"CA","types":["administrative_area_level_1","political"],"long_name":"California"},{"long_name":"United States","short_name":"US","types":["country","political"]},{"types":["postal_code"],"long_name":"95448","short_name":"95448"},{"types":["postal_code_suffix"],"long_name":"4000","short_name":"4000"},{"types":["latitude"],"long_name":38.6081693,"short_name":38.6081693},{"types":["longitude"],"long_name":-122.8700509,"short_name":-122.8700509},{"types":["debug_info","cache_load_result"],"long_name":"hit","short_name":"hit"}]</v>
      </c>
      <c r="K255" s="9" t="b">
        <f t="shared" si="363"/>
        <v>0</v>
      </c>
      <c r="L255" s="8" t="b">
        <f t="shared" si="4"/>
        <v>1</v>
      </c>
      <c r="M255" s="10" t="b">
        <v>1</v>
      </c>
      <c r="N255" s="10">
        <v>38.6104658</v>
      </c>
      <c r="O255" s="10">
        <v>-122.8691609</v>
      </c>
      <c r="P255" s="10" t="s">
        <v>964</v>
      </c>
      <c r="Q255" s="10" t="s">
        <v>197</v>
      </c>
      <c r="R255" s="10">
        <v>95448.0</v>
      </c>
      <c r="S255" s="10" t="s">
        <v>47</v>
      </c>
      <c r="T255" s="19">
        <v>790.7</v>
      </c>
      <c r="U255" s="32">
        <v>0.5599074074074074</v>
      </c>
      <c r="V255" s="18">
        <v>622.67</v>
      </c>
      <c r="W255" s="4"/>
      <c r="X255" s="4" t="str">
        <f t="shared" si="364"/>
        <v>N/A</v>
      </c>
      <c r="Y255" s="4"/>
      <c r="Z255" s="4" t="s">
        <v>38</v>
      </c>
      <c r="AA255" s="4"/>
      <c r="AB255" s="4" t="s">
        <v>965</v>
      </c>
      <c r="AE255" s="4"/>
      <c r="AF255" s="14" t="s">
        <v>966</v>
      </c>
    </row>
    <row r="256" hidden="1">
      <c r="A256" s="34" t="s">
        <v>930</v>
      </c>
      <c r="B256" s="4" t="s">
        <v>967</v>
      </c>
      <c r="C256" s="4" t="s">
        <v>697</v>
      </c>
      <c r="D256" s="4"/>
      <c r="E256" s="3" t="s">
        <v>43</v>
      </c>
      <c r="F256" s="4" t="s">
        <v>967</v>
      </c>
      <c r="G256" s="6" t="str">
        <f t="shared" si="1"/>
        <v>Link</v>
      </c>
      <c r="H256" s="3" t="s">
        <v>187</v>
      </c>
      <c r="I256" s="8" t="str">
        <f t="shared" si="2"/>
        <v>{"address_components":[{"short_name":"Ferndale","types":["locality","political"],"long_name":"Ferndale"},{"short_name":"Humboldt County","types":["administrative_area_level_2","political"],"long_name":"Humboldt County"},{"short_name":"CA","types":["administrative_area_level_1","political"],"long_name":"California"},{"short_name":"US","types":["country","political"],"long_name":"United States"},{"long_name":"95536","short_name":"95536","types":["postal_code"]},{"short_name":"406","types":["street_number"],"long_name":"406"},{"long_name":"Brown Street","short_name":"Brown St","types":["route"]},{"short_name":"Ferndale","types":["locality","political"],"long_name":"Ferndale"},{"short_name":"Humboldt County","types":["administrative_area_level_2","political"],"long_name":"Humboldt County"},{"short_name":"CA","types":["administrative_area_level_1","political"],"long_name":"California"},{"long_name":"United States","short_name":"US","types":["country","political"]},{"short_name":"95536","types":["postal_code"],"long_name":"95536"},{"types":["latitude"],"long_name":40.5762406,"short_name":40.5762406},{"types":["longitude"],"long_name":-124.2639442,"short_name":-124.2639442}]}</v>
      </c>
      <c r="J256" s="8" t="str">
        <f t="shared" si="3"/>
        <v>[{"short_name":"Ferndale","types":["locality","political"],"long_name":"Ferndale"},{"short_name":"Humboldt County","types":["administrative_area_level_2","political"],"long_name":"Humboldt County"},{"short_name":"CA","types":["administrative_area_level_1","political"],"long_name":"California"},{"short_name":"US","types":["country","political"],"long_name":"United States"},{"long_name":"95536","short_name":"95536","types":["postal_code"]},{"short_name":"406","types":["street_number"],"long_name":"406"},{"long_name":"Brown Street","short_name":"Brown St","types":["route"]},{"short_name":"Ferndale","types":["locality","political"],"long_name":"Ferndale"},{"short_name":"Humboldt County","types":["administrative_area_level_2","political"],"long_name":"Humboldt County"},{"short_name":"CA","types":["administrative_area_level_1","political"],"long_name":"California"},{"long_name":"United States","short_name":"US","types":["country","political"]},{"short_name":"95536","types":["postal_code"],"long_name":"95536"},{"types":["latitude"],"long_name":40.5762406,"short_name":40.5762406},{"types":["longitude"],"long_name":-124.2639442,"short_name":-124.2639442},{"types":["debug_info","cache_load_result"],"long_name":"hit","short_name":"hit"}]</v>
      </c>
      <c r="K256" s="9" t="b">
        <f t="shared" si="363"/>
        <v>0</v>
      </c>
      <c r="L256" s="8" t="b">
        <f t="shared" si="4"/>
        <v>1</v>
      </c>
      <c r="M256" s="10" t="b">
        <v>1</v>
      </c>
      <c r="N256" s="10">
        <v>40.5762406</v>
      </c>
      <c r="O256" s="10">
        <v>-124.2639442</v>
      </c>
      <c r="P256" s="10" t="s">
        <v>968</v>
      </c>
      <c r="Q256" s="10" t="s">
        <v>197</v>
      </c>
      <c r="R256" s="10">
        <v>95536.0</v>
      </c>
      <c r="S256" s="10" t="s">
        <v>47</v>
      </c>
      <c r="T256" s="19">
        <v>602.3</v>
      </c>
      <c r="U256" s="32">
        <v>0.4462962962962963</v>
      </c>
      <c r="V256" s="18">
        <v>495.5</v>
      </c>
      <c r="W256" s="4"/>
      <c r="X256" s="4" t="str">
        <f t="shared" si="364"/>
        <v>N/A</v>
      </c>
      <c r="Y256" s="4"/>
      <c r="Z256" s="4" t="s">
        <v>38</v>
      </c>
      <c r="AA256" s="4"/>
      <c r="AB256" s="4" t="s">
        <v>969</v>
      </c>
      <c r="AE256" s="4"/>
      <c r="AF256" s="14" t="s">
        <v>970</v>
      </c>
    </row>
    <row r="257" hidden="1">
      <c r="A257" s="34" t="s">
        <v>930</v>
      </c>
      <c r="B257" s="4" t="s">
        <v>971</v>
      </c>
      <c r="C257" s="4" t="s">
        <v>697</v>
      </c>
      <c r="D257" s="4"/>
      <c r="E257" s="3" t="s">
        <v>43</v>
      </c>
      <c r="F257" s="4" t="s">
        <v>971</v>
      </c>
      <c r="G257" s="6" t="str">
        <f t="shared" si="1"/>
        <v>Link</v>
      </c>
      <c r="H257" s="3" t="s">
        <v>187</v>
      </c>
      <c r="I257" s="8" t="str">
        <f t="shared" si="2"/>
        <v>{"address_components":[{"short_name":"Trinidad","long_name":"Trinidad","types":["locality","political"]},{"long_name":"Humboldt County","short_name":"Humboldt County","types":["administrative_area_level_2","political"]},{"types":["administrative_area_level_1","political"],"long_name":"California","short_name":"CA"},{"long_name":"United States","short_name":"US","types":["country","political"]},{"long_name":"95570","types":["postal_code"],"short_name":"95570"},{"short_name":"513","types":["street_number"],"long_name":"513"},{"types":["route"],"long_name":"Trinity Street","short_name":"Trinity St"},{"short_name":"Trinidad","long_name":"Trinidad","types":["locality","political"]},{"long_name":"Humboldt County","types":["administrative_area_level_2","political"],"short_name":"Humboldt County"},{"long_name":"California","short_name":"CA","types":["administrative_area_level_1","political"]},{"short_name":"US","long_name":"United States","types":["country","political"]},{"types":["postal_code"],"long_name":"95501","short_name":"95501"},{"types":["latitude"],"long_name":41.05929099999999,"short_name":41.05929099999999},{"types":["longitude"],"long_name":-124.1431246,"short_name":-124.1431246}]}</v>
      </c>
      <c r="J257" s="8" t="str">
        <f t="shared" si="3"/>
        <v>[{"short_name":"Trinidad","long_name":"Trinidad","types":["locality","political"]},{"long_name":"Humboldt County","short_name":"Humboldt County","types":["administrative_area_level_2","political"]},{"types":["administrative_area_level_1","political"],"long_name":"California","short_name":"CA"},{"long_name":"United States","short_name":"US","types":["country","political"]},{"long_name":"95570","types":["postal_code"],"short_name":"95570"},{"short_name":"513","types":["street_number"],"long_name":"513"},{"types":["route"],"long_name":"Trinity Street","short_name":"Trinity St"},{"short_name":"Trinidad","long_name":"Trinidad","types":["locality","political"]},{"long_name":"Humboldt County","types":["administrative_area_level_2","political"],"short_name":"Humboldt County"},{"long_name":"California","short_name":"CA","types":["administrative_area_level_1","political"]},{"short_name":"US","long_name":"United States","types":["country","political"]},{"types":["postal_code"],"long_name":"95501","short_name":"95501"},{"types":["latitude"],"long_name":41.05929099999999,"short_name":41.05929099999999},{"types":["longitude"],"long_name":-124.1431246,"short_name":-124.1431246},{"types":["debug_info","cache_load_result"],"long_name":"hit","short_name":"hit"}]</v>
      </c>
      <c r="K257" s="9" t="b">
        <f t="shared" si="363"/>
        <v>0</v>
      </c>
      <c r="L257" s="8" t="b">
        <f t="shared" si="4"/>
        <v>1</v>
      </c>
      <c r="M257" s="10" t="b">
        <v>1</v>
      </c>
      <c r="N257" s="10">
        <v>41.059291</v>
      </c>
      <c r="O257" s="10">
        <v>-124.1431246</v>
      </c>
      <c r="P257" s="10" t="s">
        <v>972</v>
      </c>
      <c r="Q257" s="10" t="s">
        <v>197</v>
      </c>
      <c r="R257" s="10">
        <v>95570.0</v>
      </c>
      <c r="S257" s="10" t="s">
        <v>47</v>
      </c>
      <c r="T257" s="19">
        <v>560.6</v>
      </c>
      <c r="U257" s="32">
        <v>0.40976851851851853</v>
      </c>
      <c r="V257" s="18">
        <v>461.54</v>
      </c>
      <c r="W257" s="4"/>
      <c r="X257" s="4" t="str">
        <f t="shared" si="364"/>
        <v>N/A</v>
      </c>
      <c r="Y257" s="4"/>
      <c r="Z257" s="4" t="s">
        <v>38</v>
      </c>
      <c r="AA257" s="4"/>
      <c r="AB257" s="4" t="s">
        <v>973</v>
      </c>
      <c r="AE257" s="4"/>
      <c r="AF257" s="14" t="s">
        <v>974</v>
      </c>
    </row>
    <row r="258" hidden="1">
      <c r="A258" s="34" t="s">
        <v>930</v>
      </c>
      <c r="B258" s="4" t="s">
        <v>975</v>
      </c>
      <c r="C258" s="4" t="s">
        <v>697</v>
      </c>
      <c r="D258" s="4"/>
      <c r="E258" s="3" t="s">
        <v>43</v>
      </c>
      <c r="F258" s="4" t="s">
        <v>975</v>
      </c>
      <c r="G258" s="6" t="str">
        <f t="shared" si="1"/>
        <v>Link</v>
      </c>
      <c r="H258" s="3" t="s">
        <v>187</v>
      </c>
      <c r="I258" s="8" t="str">
        <f t="shared" si="2"/>
        <v>{"address_components":[{"long_name":"Creede","types":["locality","political"],"short_name":"Creede"},{"short_name":"Mineral County","long_name":"Mineral County","types":["administrative_area_level_2","political"]},{"short_name":"CO","types":["administrative_area_level_1","political"],"long_name":"Colorado"},{"short_name":"US","types":["country","political"],"long_name":"United States"},{"types":["postal_code"],"long_name":"81130","short_name":"81130"},{"short_name":"104","types":["street_number"],"long_name":"104"},{"types":["route"],"long_name":"West 5th Street","short_name":"W 5th St"},{"long_name":"Creede","types":["locality","political"],"short_name":"Creede"},{"long_name":"Mineral County","types":["administrative_area_level_2","political"],"short_name":"Mineral County"},{"short_name":"CO","types":["administrative_area_level_1","political"],"long_name":"Colorado"},{"long_name":"United States","types":["country","political"],"short_name":"US"},{"types":["postal_code"],"short_name":"81130","long_name":"81130"},{"types":["latitude"],"long_name":37.8491662,"short_name":37.8491662},{"types":["longitude"],"long_name":-106.9264345,"short_name":-106.9264345}]}</v>
      </c>
      <c r="J258" s="8" t="str">
        <f t="shared" si="3"/>
        <v>[{"long_name":"Creede","types":["locality","political"],"short_name":"Creede"},{"short_name":"Mineral County","long_name":"Mineral County","types":["administrative_area_level_2","political"]},{"short_name":"CO","types":["administrative_area_level_1","political"],"long_name":"Colorado"},{"short_name":"US","types":["country","political"],"long_name":"United States"},{"types":["postal_code"],"long_name":"81130","short_name":"81130"},{"short_name":"104","types":["street_number"],"long_name":"104"},{"types":["route"],"long_name":"West 5th Street","short_name":"W 5th St"},{"long_name":"Creede","types":["locality","political"],"short_name":"Creede"},{"long_name":"Mineral County","types":["administrative_area_level_2","political"],"short_name":"Mineral County"},{"short_name":"CO","types":["administrative_area_level_1","political"],"long_name":"Colorado"},{"long_name":"United States","types":["country","political"],"short_name":"US"},{"types":["postal_code"],"short_name":"81130","long_name":"81130"},{"types":["latitude"],"long_name":37.8491662,"short_name":37.8491662},{"types":["longitude"],"long_name":-106.9264345,"short_name":-106.9264345},{"types":["debug_info","cache_load_result"],"long_name":"hit","short_name":"hit"}]</v>
      </c>
      <c r="K258" s="9" t="b">
        <f t="shared" si="363"/>
        <v>0</v>
      </c>
      <c r="L258" s="8" t="b">
        <f t="shared" si="4"/>
        <v>1</v>
      </c>
      <c r="M258" s="10" t="b">
        <v>1</v>
      </c>
      <c r="N258" s="10">
        <v>37.8491662</v>
      </c>
      <c r="O258" s="10">
        <v>-106.9264345</v>
      </c>
      <c r="P258" s="10" t="s">
        <v>976</v>
      </c>
      <c r="Q258" s="10" t="s">
        <v>840</v>
      </c>
      <c r="R258" s="10">
        <v>81130.0</v>
      </c>
      <c r="S258" s="10" t="s">
        <v>47</v>
      </c>
      <c r="T258" s="19">
        <v>1321.5</v>
      </c>
      <c r="U258" s="32">
        <v>0.8807870370370371</v>
      </c>
      <c r="V258" s="18">
        <v>1029.72</v>
      </c>
      <c r="W258" s="4"/>
      <c r="X258" s="4" t="str">
        <f t="shared" si="364"/>
        <v>N/A</v>
      </c>
      <c r="Y258" s="4"/>
      <c r="Z258" s="4" t="s">
        <v>38</v>
      </c>
      <c r="AA258" s="4"/>
      <c r="AB258" s="4" t="s">
        <v>977</v>
      </c>
      <c r="AE258" s="4"/>
      <c r="AF258" s="14" t="s">
        <v>978</v>
      </c>
    </row>
    <row r="259" hidden="1">
      <c r="A259" s="34" t="s">
        <v>930</v>
      </c>
      <c r="B259" s="4" t="s">
        <v>979</v>
      </c>
      <c r="C259" s="4" t="s">
        <v>697</v>
      </c>
      <c r="D259" s="4"/>
      <c r="E259" s="3" t="s">
        <v>43</v>
      </c>
      <c r="F259" s="4" t="s">
        <v>979</v>
      </c>
      <c r="G259" s="6" t="str">
        <f t="shared" si="1"/>
        <v>Link</v>
      </c>
      <c r="H259" s="3" t="s">
        <v>187</v>
      </c>
      <c r="I259" s="8" t="str">
        <f t="shared" si="2"/>
        <v>{"address_components":[{"long_name":"Guilford","types":["locality","political"],"short_name":"Guilford"},{"long_name":"South Central Connecticut Planning Region","types":["administrative_area_level_2","political"],"short_name":"South Central Connecticut Planning Region"},{"long_name":"Connecticut","short_name":"CT","types":["administrative_area_level_1","political"]},{"long_name":"United States","types":["country","political"],"short_name":"US"},{"short_name":"120","types":["street_number"],"long_name":"120"},{"short_name":"Church St","long_name":"Church Street","types":["route"]},{"types":["neighborhood","political"],"long_name":"Guilford Center","short_name":"Guilford Center"},{"long_name":"Guilford","short_name":"Guilford","types":["locality","political"]},{"short_name":"South Central Connecticut Planning Region","types":["administrative_area_level_2","political"],"long_name":"South Central Connecticut Planning Region"},{"long_name":"Connecticut","short_name":"CT","types":["administrative_area_level_1","political"]},{"types":["country","political"],"short_name":"US","long_name":"United States"},{"short_name":"06437","long_name":"06437","types":["postal_code"]},{"types":["latitude"],"long_name":41.287943,"short_name":41.287943},{"types":["longitude"],"long_name":-72.6839226,"short_name":-72.6839226}]}</v>
      </c>
      <c r="J259" s="8" t="str">
        <f t="shared" si="3"/>
        <v>[{"long_name":"Guilford","types":["locality","political"],"short_name":"Guilford"},{"long_name":"South Central Connecticut Planning Region","types":["administrative_area_level_2","political"],"short_name":"South Central Connecticut Planning Region"},{"long_name":"Connecticut","short_name":"CT","types":["administrative_area_level_1","political"]},{"long_name":"United States","types":["country","political"],"short_name":"US"},{"short_name":"120","types":["street_number"],"long_name":"120"},{"short_name":"Church St","long_name":"Church Street","types":["route"]},{"types":["neighborhood","political"],"long_name":"Guilford Center","short_name":"Guilford Center"},{"long_name":"Guilford","short_name":"Guilford","types":["locality","political"]},{"short_name":"South Central Connecticut Planning Region","types":["administrative_area_level_2","political"],"long_name":"South Central Connecticut Planning Region"},{"long_name":"Connecticut","short_name":"CT","types":["administrative_area_level_1","political"]},{"types":["country","political"],"short_name":"US","long_name":"United States"},{"short_name":"06437","long_name":"06437","types":["postal_code"]},{"types":["latitude"],"long_name":41.287943,"short_name":41.287943},{"types":["longitude"],"long_name":-72.6839226,"short_name":-72.6839226},{"types":["debug_info","cache_load_result"],"long_name":"hit","short_name":"hit"}]</v>
      </c>
      <c r="K259" s="9" t="b">
        <f t="shared" si="363"/>
        <v>0</v>
      </c>
      <c r="L259" s="8" t="b">
        <f t="shared" si="4"/>
        <v>1</v>
      </c>
      <c r="M259" s="10" t="b">
        <v>1</v>
      </c>
      <c r="N259" s="10">
        <v>41.288906</v>
      </c>
      <c r="O259" s="10">
        <v>-72.674364</v>
      </c>
      <c r="P259" s="10" t="s">
        <v>980</v>
      </c>
      <c r="Q259" s="10" t="s">
        <v>981</v>
      </c>
      <c r="R259" s="10">
        <v>6437.0</v>
      </c>
      <c r="S259" s="10" t="s">
        <v>47</v>
      </c>
      <c r="T259" s="19">
        <v>2944.0</v>
      </c>
      <c r="U259" s="32">
        <v>1.8135185185185185</v>
      </c>
      <c r="V259" s="18">
        <v>2445.27</v>
      </c>
      <c r="W259" s="4"/>
      <c r="X259" s="4" t="str">
        <f t="shared" si="364"/>
        <v>N/A</v>
      </c>
      <c r="Y259" s="4"/>
      <c r="Z259" s="4" t="s">
        <v>38</v>
      </c>
      <c r="AA259" s="4"/>
      <c r="AB259" s="4" t="s">
        <v>982</v>
      </c>
      <c r="AE259" s="4"/>
      <c r="AF259" s="14" t="s">
        <v>983</v>
      </c>
    </row>
    <row r="260" hidden="1">
      <c r="A260" s="34" t="s">
        <v>930</v>
      </c>
      <c r="B260" s="4" t="s">
        <v>984</v>
      </c>
      <c r="C260" s="4" t="s">
        <v>697</v>
      </c>
      <c r="D260" s="4"/>
      <c r="E260" s="3" t="s">
        <v>43</v>
      </c>
      <c r="F260" s="4" t="s">
        <v>984</v>
      </c>
      <c r="G260" s="6" t="str">
        <f t="shared" si="1"/>
        <v>Link</v>
      </c>
      <c r="H260" s="3" t="s">
        <v>187</v>
      </c>
      <c r="I260" s="8" t="str">
        <f t="shared" si="2"/>
        <v>{"address_components":[{"short_name":"Milton","long_name":"Milton","types":["locality","political"]},{"short_name":"Sussex County","long_name":"Sussex County","types":["administrative_area_level_2","political"]},{"short_name":"DE","long_name":"Delaware","types":["administrative_area_level_1","political"]},{"long_name":"United States","types":["country","political"],"short_name":"US"},{"short_name":"19968","long_name":"19968","types":["postal_code"]},{"long_name":"101","types":["street_number"],"short_name":"101"},{"long_name":"Federal Street","types":["route"],"short_name":"Federal St"},{"short_name":"Milton","long_name":"Milton","types":["locality","political"]},{"long_name":"Sussex County","types":["administrative_area_level_2","political"],"short_name":"Sussex County"},{"long_name":"Delaware","types":["administrative_area_level_1","political"],"short_name":"DE"},{"short_name":"US","long_name":"United States","types":["country","political"]},{"long_name":"19968","types":["postal_code"],"short_name":"19968"},{"long_name":"1602","types":["postal_code_suffix"],"short_name":"1602"},{"types":["latitude"],"long_name":38.7776124,"short_name":38.7776124},{"types":["longitude"],"long_name":-75.3099136,"short_name":-75.3099136}]}</v>
      </c>
      <c r="J260" s="8" t="str">
        <f t="shared" si="3"/>
        <v>[{"short_name":"Milton","long_name":"Milton","types":["locality","political"]},{"short_name":"Sussex County","long_name":"Sussex County","types":["administrative_area_level_2","political"]},{"short_name":"DE","long_name":"Delaware","types":["administrative_area_level_1","political"]},{"long_name":"United States","types":["country","political"],"short_name":"US"},{"short_name":"19968","long_name":"19968","types":["postal_code"]},{"long_name":"101","types":["street_number"],"short_name":"101"},{"long_name":"Federal Street","types":["route"],"short_name":"Federal St"},{"short_name":"Milton","long_name":"Milton","types":["locality","political"]},{"long_name":"Sussex County","types":["administrative_area_level_2","political"],"short_name":"Sussex County"},{"long_name":"Delaware","types":["administrative_area_level_1","political"],"short_name":"DE"},{"short_name":"US","long_name":"United States","types":["country","political"]},{"long_name":"19968","types":["postal_code"],"short_name":"19968"},{"long_name":"1602","types":["postal_code_suffix"],"short_name":"1602"},{"types":["latitude"],"long_name":38.7776124,"short_name":38.7776124},{"types":["longitude"],"long_name":-75.3099136,"short_name":-75.3099136},{"types":["debug_info","cache_load_result"],"long_name":"hit","short_name":"hit"}]</v>
      </c>
      <c r="K260" s="9" t="b">
        <f t="shared" si="363"/>
        <v>0</v>
      </c>
      <c r="L260" s="8" t="b">
        <f t="shared" si="4"/>
        <v>1</v>
      </c>
      <c r="M260" s="10" t="b">
        <v>1</v>
      </c>
      <c r="N260" s="10">
        <v>38.7776124</v>
      </c>
      <c r="O260" s="10">
        <v>-75.3099136</v>
      </c>
      <c r="P260" s="10" t="s">
        <v>985</v>
      </c>
      <c r="Q260" s="10" t="s">
        <v>986</v>
      </c>
      <c r="R260" s="10">
        <v>19968.0</v>
      </c>
      <c r="S260" s="10" t="s">
        <v>47</v>
      </c>
      <c r="T260" s="19">
        <v>2838.7</v>
      </c>
      <c r="U260" s="32">
        <v>1.7740740740740741</v>
      </c>
      <c r="V260" s="18">
        <v>2406.89</v>
      </c>
      <c r="W260" s="4"/>
      <c r="X260" s="4" t="str">
        <f t="shared" si="364"/>
        <v>N/A</v>
      </c>
      <c r="Y260" s="4"/>
      <c r="Z260" s="4" t="s">
        <v>38</v>
      </c>
      <c r="AA260" s="4"/>
      <c r="AB260" s="4" t="s">
        <v>987</v>
      </c>
      <c r="AE260" s="4"/>
      <c r="AF260" s="14" t="s">
        <v>988</v>
      </c>
    </row>
    <row r="261" hidden="1">
      <c r="A261" s="34" t="s">
        <v>930</v>
      </c>
      <c r="B261" s="4" t="s">
        <v>989</v>
      </c>
      <c r="C261" s="4" t="s">
        <v>697</v>
      </c>
      <c r="D261" s="4"/>
      <c r="E261" s="3" t="s">
        <v>43</v>
      </c>
      <c r="F261" s="4" t="s">
        <v>989</v>
      </c>
      <c r="G261" s="6" t="str">
        <f t="shared" si="1"/>
        <v>Link</v>
      </c>
      <c r="H261" s="3" t="s">
        <v>187</v>
      </c>
      <c r="I261" s="8" t="str">
        <f t="shared" si="2"/>
        <v>{"address_components":[{"long_name":"Perdido Key","short_name":"Perdido Key","types":["neighborhood","political"]},{"long_name":"Orange Beach","short_name":"Orange Beach","types":["locality","political"]},{"long_name":"Escambia County","short_name":"Escambia County","types":["administrative_area_level_2","political"]},{"long_name":"Florida","short_name":"FL","types":["administrative_area_level_1","political"]},{"long_name":"United States","short_name":"US","types":["country","political"]},{"long_name":"32507","short_name":"32507","types":["postal_code"]},{"long_name":"13550","short_name":"13550","types":["street_number"]},{"long_name":"Perdido Key Drive","short_name":"Perdido Key Dr","types":["route"]},{"long_name":"Perdido Key","short_name":"Perdido Key","types":["neighborhood","political"]},{"long_name":"Pensacola","short_name":"Pensacola","types":["locality","political"]},{"long_name":"Escambia County","short_name":"Escambia County","types":["administrative_area_level_2","political"]},{"long_name":"Florida","short_name":"FL","types":["administrative_area_level_1","political"]},{"long_name":"United States","short_name":"US","types":["country","political"]},{"long_name":"32507","short_name":"32507","types":["postal_code"]},{"long_name":"9638","short_name":"9638","types":["postal_code_suffix"]},{"types":["latitude"],"long_name":30.3035037,"short_name":30.3035037},{"types":["longitude"],"long_name":-87.42731719999999,"short_name":-87.42731719999999}]}</v>
      </c>
      <c r="J261" s="8" t="str">
        <f t="shared" si="3"/>
        <v>[{"long_name":"Perdido Key","short_name":"Perdido Key","types":["neighborhood","political"]},{"long_name":"Orange Beach","short_name":"Orange Beach","types":["locality","political"]},{"long_name":"Escambia County","short_name":"Escambia County","types":["administrative_area_level_2","political"]},{"long_name":"Florida","short_name":"FL","types":["administrative_area_level_1","political"]},{"long_name":"United States","short_name":"US","types":["country","political"]},{"long_name":"32507","short_name":"32507","types":["postal_code"]},{"long_name":"13550","short_name":"13550","types":["street_number"]},{"long_name":"Perdido Key Drive","short_name":"Perdido Key Dr","types":["route"]},{"long_name":"Perdido Key","short_name":"Perdido Key","types":["neighborhood","political"]},{"long_name":"Pensacola","short_name":"Pensacola","types":["locality","political"]},{"long_name":"Escambia County","short_name":"Escambia County","types":["administrative_area_level_2","political"]},{"long_name":"Florida","short_name":"FL","types":["administrative_area_level_1","political"]},{"long_name":"United States","short_name":"US","types":["country","political"]},{"long_name":"32507","short_name":"32507","types":["postal_code"]},{"long_name":"9638","short_name":"9638","types":["postal_code_suffix"]},{"types":["latitude"],"long_name":30.3035037,"short_name":30.3035037},{"types":["longitude"],"long_name":-87.42731719999999,"short_name":-87.42731719999999},{"types":["debug_info","cache_load_result"],"long_name":"hit","short_name":"hit"}]</v>
      </c>
      <c r="K261" s="9" t="b">
        <f t="shared" si="363"/>
        <v>0</v>
      </c>
      <c r="L261" s="8" t="b">
        <f t="shared" si="4"/>
        <v>1</v>
      </c>
      <c r="M261" s="10" t="b">
        <v>1</v>
      </c>
      <c r="N261" s="10">
        <v>30.3035037</v>
      </c>
      <c r="O261" s="10">
        <v>-87.4273172</v>
      </c>
      <c r="P261" s="10" t="s">
        <v>990</v>
      </c>
      <c r="Q261" s="10" t="s">
        <v>991</v>
      </c>
      <c r="R261" s="10">
        <v>32507.0</v>
      </c>
      <c r="S261" s="10" t="s">
        <v>47</v>
      </c>
      <c r="T261" s="19">
        <v>2734.1</v>
      </c>
      <c r="U261" s="32">
        <v>1.738900462962963</v>
      </c>
      <c r="V261" s="18">
        <v>2196.76</v>
      </c>
      <c r="W261" s="4"/>
      <c r="X261" s="4" t="str">
        <f t="shared" si="364"/>
        <v>N/A</v>
      </c>
      <c r="Y261" s="4"/>
      <c r="Z261" s="4" t="s">
        <v>38</v>
      </c>
      <c r="AA261" s="4"/>
      <c r="AB261" s="4" t="s">
        <v>992</v>
      </c>
      <c r="AE261" s="4"/>
      <c r="AF261" s="14" t="s">
        <v>993</v>
      </c>
    </row>
    <row r="262" hidden="1">
      <c r="A262" s="34" t="s">
        <v>930</v>
      </c>
      <c r="B262" s="4" t="s">
        <v>994</v>
      </c>
      <c r="C262" s="4" t="s">
        <v>697</v>
      </c>
      <c r="D262" s="4"/>
      <c r="E262" s="3" t="s">
        <v>43</v>
      </c>
      <c r="F262" s="4" t="s">
        <v>994</v>
      </c>
      <c r="G262" s="6" t="str">
        <f t="shared" si="1"/>
        <v>Link</v>
      </c>
      <c r="H262" s="3" t="s">
        <v>187</v>
      </c>
      <c r="I262" s="8" t="str">
        <f t="shared" si="2"/>
        <v>{"address_components":[{"long_name":"Cedar Key","types":["locality","political"],"short_name":"Cedar Key"},{"types":["administrative_area_level_2","political"],"short_name":"Levy County","long_name":"Levy County"},{"short_name":"FL","long_name":"Florida","types":["administrative_area_level_1","political"]},{"types":["country","political"],"long_name":"United States","short_name":"US"},{"types":["postal_code"],"long_name":"32625","short_name":"32625"},{"types":["street_number"],"long_name":"625","short_name":"625"},{"types":["route"],"short_name":"6th St","long_name":"6th Street"},{"long_name":"Cedar Key","types":["locality","political"],"short_name":"Cedar Key"},{"long_name":"Levy County","short_name":"Levy County","types":["administrative_area_level_2","political"]},{"long_name":"Florida","types":["administrative_area_level_1","political"],"short_name":"FL"},{"long_name":"United States","short_name":"US","types":["country","political"]},{"long_name":"32625","short_name":"32625","types":["postal_code"]},{"types":["postal_code_suffix"],"long_name":"5007","short_name":"5007"},{"types":["latitude"],"long_name":29.1385785,"short_name":29.1385785},{"types":["longitude"],"long_name":-83.03512119999999,"short_name":-83.03512119999999}]}</v>
      </c>
      <c r="J262" s="8" t="str">
        <f t="shared" si="3"/>
        <v>[{"long_name":"Cedar Key","types":["locality","political"],"short_name":"Cedar Key"},{"types":["administrative_area_level_2","political"],"short_name":"Levy County","long_name":"Levy County"},{"short_name":"FL","long_name":"Florida","types":["administrative_area_level_1","political"]},{"types":["country","political"],"long_name":"United States","short_name":"US"},{"types":["postal_code"],"long_name":"32625","short_name":"32625"},{"types":["street_number"],"long_name":"625","short_name":"625"},{"types":["route"],"short_name":"6th St","long_name":"6th Street"},{"long_name":"Cedar Key","types":["locality","political"],"short_name":"Cedar Key"},{"long_name":"Levy County","short_name":"Levy County","types":["administrative_area_level_2","political"]},{"long_name":"Florida","types":["administrative_area_level_1","political"],"short_name":"FL"},{"long_name":"United States","short_name":"US","types":["country","political"]},{"long_name":"32625","short_name":"32625","types":["postal_code"]},{"types":["postal_code_suffix"],"long_name":"5007","short_name":"5007"},{"types":["latitude"],"long_name":29.1385785,"short_name":29.1385785},{"types":["longitude"],"long_name":-83.03512119999999,"short_name":-83.03512119999999},{"types":["debug_info","cache_load_result"],"long_name":"hit","short_name":"hit"}]</v>
      </c>
      <c r="K262" s="9" t="b">
        <f t="shared" si="363"/>
        <v>0</v>
      </c>
      <c r="L262" s="8" t="b">
        <f t="shared" si="4"/>
        <v>1</v>
      </c>
      <c r="M262" s="10" t="b">
        <v>1</v>
      </c>
      <c r="N262" s="10">
        <v>29.1385785</v>
      </c>
      <c r="O262" s="10">
        <v>-83.0351212</v>
      </c>
      <c r="P262" s="10" t="s">
        <v>995</v>
      </c>
      <c r="Q262" s="10" t="s">
        <v>991</v>
      </c>
      <c r="R262" s="10">
        <v>32625.0</v>
      </c>
      <c r="S262" s="10" t="s">
        <v>47</v>
      </c>
      <c r="T262" s="19">
        <v>2998.9</v>
      </c>
      <c r="U262" s="32">
        <v>1.8779513888888888</v>
      </c>
      <c r="V262" s="18">
        <v>2445.07</v>
      </c>
      <c r="W262" s="4"/>
      <c r="X262" s="4" t="str">
        <f t="shared" si="364"/>
        <v>N/A</v>
      </c>
      <c r="Y262" s="4"/>
      <c r="Z262" s="4" t="s">
        <v>38</v>
      </c>
      <c r="AA262" s="4"/>
      <c r="AB262" s="4" t="s">
        <v>996</v>
      </c>
      <c r="AE262" s="4"/>
      <c r="AF262" s="14" t="s">
        <v>997</v>
      </c>
    </row>
    <row r="263" hidden="1">
      <c r="A263" s="34" t="s">
        <v>930</v>
      </c>
      <c r="B263" s="4" t="s">
        <v>998</v>
      </c>
      <c r="C263" s="4" t="s">
        <v>697</v>
      </c>
      <c r="D263" s="4"/>
      <c r="E263" s="3" t="s">
        <v>43</v>
      </c>
      <c r="F263" s="4" t="s">
        <v>998</v>
      </c>
      <c r="G263" s="6" t="str">
        <f t="shared" si="1"/>
        <v>Link</v>
      </c>
      <c r="H263" s="3" t="s">
        <v>187</v>
      </c>
      <c r="I263" s="8" t="str">
        <f t="shared" si="2"/>
        <v>{"address_components":[{"types":["locality","political"],"long_name":"Stuart","short_name":"Stuart"},{"long_name":"Martin County","short_name":"Martin County","types":["administrative_area_level_2","political"]},{"long_name":"Florida","short_name":"FL","types":["administrative_area_level_1","political"]},{"short_name":"US","long_name":"United States","types":["country","political"]},{"short_name":"363399","types":["street_number"],"long_name":"363399"},{"long_name":"South Colorado Avenue","short_name":"S Colorado Ave","types":["route"]},{"long_name":"Stuart","short_name":"Stuart","types":["locality","political"]},{"long_name":"Martin County","short_name":"Martin County","types":["administrative_area_level_2","political"]},{"short_name":"FL","long_name":"Florida","types":["administrative_area_level_1","political"]},{"types":["country","political"],"long_name":"United States","short_name":"US"},{"types":["postal_code"],"short_name":"34994","long_name":"34994"},{"types":["latitude"],"long_name":27.197548,"short_name":27.197548},{"types":["longitude"],"long_name":-80.2528257,"short_name":-80.2528257}]}</v>
      </c>
      <c r="J263" s="8" t="str">
        <f t="shared" si="3"/>
        <v>[{"types":["locality","political"],"long_name":"Stuart","short_name":"Stuart"},{"long_name":"Martin County","short_name":"Martin County","types":["administrative_area_level_2","political"]},{"long_name":"Florida","short_name":"FL","types":["administrative_area_level_1","political"]},{"short_name":"US","long_name":"United States","types":["country","political"]},{"short_name":"363399","types":["street_number"],"long_name":"363399"},{"long_name":"South Colorado Avenue","short_name":"S Colorado Ave","types":["route"]},{"long_name":"Stuart","short_name":"Stuart","types":["locality","political"]},{"long_name":"Martin County","short_name":"Martin County","types":["administrative_area_level_2","political"]},{"short_name":"FL","long_name":"Florida","types":["administrative_area_level_1","political"]},{"types":["country","political"],"long_name":"United States","short_name":"US"},{"types":["postal_code"],"short_name":"34994","long_name":"34994"},{"types":["latitude"],"long_name":27.197548,"short_name":27.197548},{"types":["longitude"],"long_name":-80.2528257,"short_name":-80.2528257},{"types":["debug_info","cache_load_result"],"long_name":"hit","short_name":"hit"}]</v>
      </c>
      <c r="K263" s="9" t="b">
        <f t="shared" si="363"/>
        <v>0</v>
      </c>
      <c r="L263" s="8" t="b">
        <f t="shared" si="4"/>
        <v>1</v>
      </c>
      <c r="M263" s="10" t="b">
        <v>1</v>
      </c>
      <c r="N263" s="10">
        <v>27.197548</v>
      </c>
      <c r="O263" s="10">
        <v>-80.2528257</v>
      </c>
      <c r="P263" s="10" t="s">
        <v>999</v>
      </c>
      <c r="Q263" s="10" t="s">
        <v>991</v>
      </c>
      <c r="R263" s="10">
        <v>34994.0</v>
      </c>
      <c r="S263" s="10" t="s">
        <v>47</v>
      </c>
      <c r="T263" s="19">
        <v>3197.5</v>
      </c>
      <c r="U263" s="32">
        <v>2.004085648148148</v>
      </c>
      <c r="V263" s="18">
        <v>2660.46</v>
      </c>
      <c r="W263" s="4"/>
      <c r="X263" s="4" t="str">
        <f t="shared" si="364"/>
        <v>N/A</v>
      </c>
      <c r="Y263" s="4"/>
      <c r="Z263" s="4" t="s">
        <v>38</v>
      </c>
      <c r="AA263" s="4"/>
      <c r="AB263" s="4" t="s">
        <v>1000</v>
      </c>
      <c r="AE263" s="4"/>
      <c r="AF263" s="14" t="s">
        <v>1001</v>
      </c>
    </row>
    <row r="264" hidden="1">
      <c r="A264" s="34" t="s">
        <v>930</v>
      </c>
      <c r="B264" s="4" t="s">
        <v>1002</v>
      </c>
      <c r="C264" s="4" t="s">
        <v>697</v>
      </c>
      <c r="D264" s="4"/>
      <c r="E264" s="3" t="s">
        <v>43</v>
      </c>
      <c r="F264" s="4" t="s">
        <v>1002</v>
      </c>
      <c r="G264" s="6" t="str">
        <f t="shared" si="1"/>
        <v>Link</v>
      </c>
      <c r="H264" s="3" t="s">
        <v>187</v>
      </c>
      <c r="I264" s="8" t="str">
        <f t="shared" si="2"/>
        <v>{"address_components":[{"long_name":"St. Simons Island","short_name":"St Simons Island","types":["locality","political"]},{"long_name":"Glynn County","short_name":"Glynn County","types":["administrative_area_level_2","political"]},{"short_name":"GA","long_name":"Georgia","types":["administrative_area_level_1","political"]},{"long_name":"United States","types":["country","political"],"short_name":"US"},{"long_name":"31522","types":["postal_code"],"short_name":"31522"},{"long_name":"70","short_name":"70","types":["street_number"]},{"long_name":"Gruber Lane","types":["route"],"short_name":"Gruber Lane"},{"long_name":"St. Simons Island","types":["locality","political"],"short_name":"St Simons Island"},{"long_name":"Glynn County","short_name":"Glynn County","types":["administrative_area_level_2","political"]},{"types":["administrative_area_level_1","political"],"long_name":"Georgia","short_name":"GA"},{"types":["country","political"],"long_name":"United States","short_name":"US"},{"types":["postal_code"],"short_name":"31522","long_name":"31522"},{"types":["latitude"],"long_name":31.1595905,"short_name":31.1595905},{"types":["longitude"],"long_name":-81.3885517,"short_name":-81.3885517}]}</v>
      </c>
      <c r="J264" s="8" t="str">
        <f t="shared" si="3"/>
        <v>[{"long_name":"St. Simons Island","short_name":"St Simons Island","types":["locality","political"]},{"long_name":"Glynn County","short_name":"Glynn County","types":["administrative_area_level_2","political"]},{"short_name":"GA","long_name":"Georgia","types":["administrative_area_level_1","political"]},{"long_name":"United States","types":["country","political"],"short_name":"US"},{"long_name":"31522","types":["postal_code"],"short_name":"31522"},{"long_name":"70","short_name":"70","types":["street_number"]},{"long_name":"Gruber Lane","types":["route"],"short_name":"Gruber Lane"},{"long_name":"St. Simons Island","types":["locality","political"],"short_name":"St Simons Island"},{"long_name":"Glynn County","short_name":"Glynn County","types":["administrative_area_level_2","political"]},{"types":["administrative_area_level_1","political"],"long_name":"Georgia","short_name":"GA"},{"types":["country","political"],"long_name":"United States","short_name":"US"},{"types":["postal_code"],"short_name":"31522","long_name":"31522"},{"types":["latitude"],"long_name":31.1595905,"short_name":31.1595905},{"types":["longitude"],"long_name":-81.3885517,"short_name":-81.3885517},{"types":["debug_info","cache_load_result"],"long_name":"hit","short_name":"hit"}]</v>
      </c>
      <c r="K264" s="9" t="b">
        <f t="shared" si="363"/>
        <v>0</v>
      </c>
      <c r="L264" s="8" t="b">
        <f t="shared" si="4"/>
        <v>1</v>
      </c>
      <c r="M264" s="10" t="b">
        <v>1</v>
      </c>
      <c r="N264" s="10">
        <v>31.1595905</v>
      </c>
      <c r="O264" s="10">
        <v>-81.3885517</v>
      </c>
      <c r="P264" s="10" t="s">
        <v>1003</v>
      </c>
      <c r="Q264" s="10" t="s">
        <v>925</v>
      </c>
      <c r="R264" s="10">
        <v>31522.0</v>
      </c>
      <c r="S264" s="10" t="s">
        <v>47</v>
      </c>
      <c r="T264" s="19">
        <v>2910.4</v>
      </c>
      <c r="U264" s="32">
        <v>1.829351851851852</v>
      </c>
      <c r="V264" s="18">
        <v>2427.21</v>
      </c>
      <c r="W264" s="4"/>
      <c r="X264" s="4" t="str">
        <f t="shared" si="364"/>
        <v>N/A</v>
      </c>
      <c r="Y264" s="4"/>
      <c r="Z264" s="4" t="s">
        <v>38</v>
      </c>
      <c r="AA264" s="4"/>
      <c r="AB264" s="4" t="s">
        <v>1004</v>
      </c>
      <c r="AE264" s="4"/>
      <c r="AF264" s="14" t="s">
        <v>1005</v>
      </c>
    </row>
    <row r="265" hidden="1">
      <c r="A265" s="34" t="s">
        <v>930</v>
      </c>
      <c r="B265" s="4" t="s">
        <v>1006</v>
      </c>
      <c r="C265" s="4" t="s">
        <v>697</v>
      </c>
      <c r="D265" s="4"/>
      <c r="E265" s="3" t="s">
        <v>43</v>
      </c>
      <c r="F265" s="4" t="s">
        <v>1006</v>
      </c>
      <c r="G265" s="6" t="str">
        <f t="shared" si="1"/>
        <v>Link</v>
      </c>
      <c r="H265" s="3" t="s">
        <v>187</v>
      </c>
      <c r="I265" s="8" t="str">
        <f t="shared" si="2"/>
        <v>{"address_components":[{"long_name":"Paia","short_name":"Paia","types":["locality","political"]},{"long_name":"Maui County","types":["administrative_area_level_2","political"],"short_name":"Maui County"},{"short_name":"HI","types":["administrative_area_level_1","political"],"long_name":"Hawaii"},{"long_name":"United States","types":["country","political"],"short_name":"US"},{"long_name":"497","short_name":"497","types":["street_number"]},{"types":["route"],"short_name":"Baldwin Ave","long_name":"Baldwin Avenue"},{"long_name":"Paia","types":["locality","political"],"short_name":"Paia"},{"types":["administrative_area_level_2","political"],"short_name":"Maui County","long_name":"Maui County"},{"long_name":"Hawaii","types":["administrative_area_level_1","political"],"short_name":"HI"},{"types":["country","political"],"long_name":"United States","short_name":"US"},{"short_name":"96779","long_name":"96779","types":["postal_code"]},{"types":["latitude"],"long_name":20.9060569,"short_name":20.9060569},{"types":["longitude"],"long_name":-156.3739778,"short_name":-156.3739778}]}</v>
      </c>
      <c r="J265" s="8" t="str">
        <f t="shared" si="3"/>
        <v>[{"long_name":"Paia","short_name":"Paia","types":["locality","political"]},{"long_name":"Maui County","types":["administrative_area_level_2","political"],"short_name":"Maui County"},{"short_name":"HI","types":["administrative_area_level_1","political"],"long_name":"Hawaii"},{"long_name":"United States","types":["country","political"],"short_name":"US"},{"long_name":"497","short_name":"497","types":["street_number"]},{"types":["route"],"short_name":"Baldwin Ave","long_name":"Baldwin Avenue"},{"long_name":"Paia","types":["locality","political"],"short_name":"Paia"},{"types":["administrative_area_level_2","political"],"short_name":"Maui County","long_name":"Maui County"},{"long_name":"Hawaii","types":["administrative_area_level_1","political"],"short_name":"HI"},{"types":["country","political"],"long_name":"United States","short_name":"US"},{"short_name":"96779","long_name":"96779","types":["postal_code"]},{"types":["latitude"],"long_name":20.9060569,"short_name":20.9060569},{"types":["longitude"],"long_name":-156.3739778,"short_name":-156.3739778},{"types":["debug_info","cache_load_result"],"long_name":"hit","short_name":"hit"}]</v>
      </c>
      <c r="K265" s="9" t="b">
        <f t="shared" si="363"/>
        <v>0</v>
      </c>
      <c r="L265" s="8" t="b">
        <f t="shared" si="4"/>
        <v>1</v>
      </c>
      <c r="M265" s="10" t="b">
        <v>1</v>
      </c>
      <c r="N265" s="10">
        <v>20.9060569</v>
      </c>
      <c r="O265" s="10">
        <v>-156.3739778</v>
      </c>
      <c r="P265" s="10" t="s">
        <v>1007</v>
      </c>
      <c r="Q265" s="10" t="s">
        <v>468</v>
      </c>
      <c r="R265" s="10">
        <v>96779.0</v>
      </c>
      <c r="S265" s="10" t="s">
        <v>47</v>
      </c>
      <c r="T265" s="19" t="s">
        <v>56</v>
      </c>
      <c r="U265" s="20" t="s">
        <v>56</v>
      </c>
      <c r="V265" s="18">
        <v>2641.99</v>
      </c>
      <c r="W265" s="4"/>
      <c r="X265" s="4" t="str">
        <f t="shared" si="364"/>
        <v>N/A</v>
      </c>
      <c r="Y265" s="4"/>
      <c r="Z265" s="4" t="s">
        <v>38</v>
      </c>
      <c r="AA265" s="4"/>
      <c r="AB265" s="4" t="s">
        <v>1008</v>
      </c>
      <c r="AE265" s="4"/>
      <c r="AF265" s="14" t="s">
        <v>1009</v>
      </c>
    </row>
    <row r="266" hidden="1">
      <c r="A266" s="34" t="s">
        <v>930</v>
      </c>
      <c r="B266" s="4" t="s">
        <v>1010</v>
      </c>
      <c r="C266" s="4" t="s">
        <v>697</v>
      </c>
      <c r="D266" s="4"/>
      <c r="E266" s="3" t="s">
        <v>43</v>
      </c>
      <c r="F266" s="4" t="s">
        <v>1010</v>
      </c>
      <c r="G266" s="6" t="str">
        <f t="shared" si="1"/>
        <v>Link</v>
      </c>
      <c r="H266" s="3" t="s">
        <v>187</v>
      </c>
      <c r="I266" s="8" t="str">
        <f t="shared" si="2"/>
        <v>{"address_components":[{"long_name":"Galena","types":["locality","political"],"short_name":"Galena"},{"types":["administrative_area_level_2","political"],"long_name":"Jo Daviess County","short_name":"Jo Daviess County"},{"types":["administrative_area_level_1","political"],"long_name":"Illinois","short_name":"IL"},{"long_name":"United States","short_name":"US","types":["country","political"]},{"long_name":"61036","types":["postal_code"],"short_name":"61036"},{"short_name":"104","long_name":"104","types":["street_number"]},{"types":["route"],"long_name":"South Bench Street","short_name":"S Bench St"},{"short_name":"Galena","long_name":"Galena","types":["locality","political"]},{"types":["administrative_area_level_3","political"],"long_name":"West Galena Township","short_name":"West Galena Township"},{"long_name":"Jo Daviess County","types":["administrative_area_level_2","political"],"short_name":"Jo Daviess County"},{"long_name":"Illinois","short_name":"IL","types":["administrative_area_level_1","political"]},{"types":["country","political"],"short_name":"US","long_name":"United States"},{"short_name":"61036","long_name":"61036","types":["postal_code"]},{"long_name":"2202","types":["postal_code_suffix"],"short_name":"2202"},{"types":["latitude"],"long_name":42.4166744,"short_name":42.4166744},{"types":["longitude"],"long_name":-90.4290168,"short_name":-90.4290168}]}</v>
      </c>
      <c r="J266" s="8" t="str">
        <f t="shared" si="3"/>
        <v>[{"long_name":"Galena","types":["locality","political"],"short_name":"Galena"},{"types":["administrative_area_level_2","political"],"long_name":"Jo Daviess County","short_name":"Jo Daviess County"},{"types":["administrative_area_level_1","political"],"long_name":"Illinois","short_name":"IL"},{"long_name":"United States","short_name":"US","types":["country","political"]},{"long_name":"61036","types":["postal_code"],"short_name":"61036"},{"short_name":"104","long_name":"104","types":["street_number"]},{"types":["route"],"long_name":"South Bench Street","short_name":"S Bench St"},{"short_name":"Galena","long_name":"Galena","types":["locality","political"]},{"types":["administrative_area_level_3","political"],"long_name":"West Galena Township","short_name":"West Galena Township"},{"long_name":"Jo Daviess County","types":["administrative_area_level_2","political"],"short_name":"Jo Daviess County"},{"long_name":"Illinois","short_name":"IL","types":["administrative_area_level_1","political"]},{"types":["country","political"],"short_name":"US","long_name":"United States"},{"short_name":"61036","long_name":"61036","types":["postal_code"]},{"long_name":"2202","types":["postal_code_suffix"],"short_name":"2202"},{"types":["latitude"],"long_name":42.4166744,"short_name":42.4166744},{"types":["longitude"],"long_name":-90.4290168,"short_name":-90.4290168},{"types":["debug_info","cache_load_result"],"long_name":"hit","short_name":"hit"}]</v>
      </c>
      <c r="K266" s="9" t="b">
        <f t="shared" si="363"/>
        <v>0</v>
      </c>
      <c r="L266" s="8" t="b">
        <f t="shared" si="4"/>
        <v>1</v>
      </c>
      <c r="M266" s="10" t="b">
        <v>1</v>
      </c>
      <c r="N266" s="10">
        <v>42.4166744</v>
      </c>
      <c r="O266" s="10">
        <v>-90.4290168</v>
      </c>
      <c r="P266" s="10" t="s">
        <v>1011</v>
      </c>
      <c r="Q266" s="10" t="s">
        <v>1012</v>
      </c>
      <c r="R266" s="10">
        <v>61036.0</v>
      </c>
      <c r="S266" s="10" t="s">
        <v>47</v>
      </c>
      <c r="T266" s="19">
        <v>1876.5</v>
      </c>
      <c r="U266" s="32">
        <v>1.1704398148148147</v>
      </c>
      <c r="V266" s="18">
        <v>1587.51</v>
      </c>
      <c r="W266" s="4"/>
      <c r="X266" s="4" t="str">
        <f t="shared" si="364"/>
        <v>N/A</v>
      </c>
      <c r="Y266" s="4"/>
      <c r="Z266" s="4" t="s">
        <v>38</v>
      </c>
      <c r="AA266" s="4"/>
      <c r="AB266" s="4" t="s">
        <v>1013</v>
      </c>
      <c r="AE266" s="4"/>
      <c r="AF266" s="14" t="s">
        <v>1014</v>
      </c>
    </row>
    <row r="267" hidden="1">
      <c r="A267" s="34" t="s">
        <v>930</v>
      </c>
      <c r="B267" s="4" t="s">
        <v>1015</v>
      </c>
      <c r="C267" s="4" t="s">
        <v>697</v>
      </c>
      <c r="D267" s="4"/>
      <c r="E267" s="3" t="s">
        <v>43</v>
      </c>
      <c r="F267" s="4" t="s">
        <v>1015</v>
      </c>
      <c r="G267" s="6" t="str">
        <f t="shared" si="1"/>
        <v>Link</v>
      </c>
      <c r="H267" s="3" t="s">
        <v>187</v>
      </c>
      <c r="I267" s="8" t="str">
        <f t="shared" si="2"/>
        <v>{"address_components":[{"short_name":"Shipshewana","types":["locality","political"],"long_name":"Shipshewana"},{"long_name":"Newbury Township","short_name":"Newbury Township","types":["administrative_area_level_3","political"]},{"short_name":"LaGrange County","types":["administrative_area_level_2","political"],"long_name":"LaGrange County"},{"short_name":"IN","types":["administrative_area_level_1","political"],"long_name":"Indiana"},{"types":["country","political"],"long_name":"United States","short_name":"US"},{"types":["postal_code"],"long_name":"46565","short_name":"46565"},{"long_name":"347","short_name":"347","types":["street_number"]},{"long_name":"South Van Buren Street","short_name":"S Van Buren St","types":["route"]},{"long_name":"Shipshewana","short_name":"Shipshewana","types":["locality","political"]},{"long_name":"Newbury Township","short_name":"Newbury Township","types":["administrative_area_level_3","political"]},{"short_name":"LaGrange County","types":["administrative_area_level_2","political"],"long_name":"LaGrange County"},{"long_name":"Indiana","short_name":"IN","types":["administrative_area_level_1","political"]},{"long_name":"United States","types":["country","political"],"short_name":"US"},{"types":["postal_code"],"long_name":"46565","short_name":"46565"},{"types":["latitude"],"long_name":41.6728282,"short_name":41.6728282},{"types":["longitude"],"long_name":-85.58026339999999,"short_name":-85.58026339999999}]}</v>
      </c>
      <c r="J267" s="8" t="str">
        <f t="shared" si="3"/>
        <v>[{"short_name":"Shipshewana","types":["locality","political"],"long_name":"Shipshewana"},{"long_name":"Newbury Township","short_name":"Newbury Township","types":["administrative_area_level_3","political"]},{"short_name":"LaGrange County","types":["administrative_area_level_2","political"],"long_name":"LaGrange County"},{"short_name":"IN","types":["administrative_area_level_1","political"],"long_name":"Indiana"},{"types":["country","political"],"long_name":"United States","short_name":"US"},{"types":["postal_code"],"long_name":"46565","short_name":"46565"},{"long_name":"347","short_name":"347","types":["street_number"]},{"long_name":"South Van Buren Street","short_name":"S Van Buren St","types":["route"]},{"long_name":"Shipshewana","short_name":"Shipshewana","types":["locality","political"]},{"long_name":"Newbury Township","short_name":"Newbury Township","types":["administrative_area_level_3","political"]},{"short_name":"LaGrange County","types":["administrative_area_level_2","political"],"long_name":"LaGrange County"},{"long_name":"Indiana","short_name":"IN","types":["administrative_area_level_1","political"]},{"long_name":"United States","types":["country","political"],"short_name":"US"},{"types":["postal_code"],"long_name":"46565","short_name":"46565"},{"types":["latitude"],"long_name":41.6728282,"short_name":41.6728282},{"types":["longitude"],"long_name":-85.58026339999999,"short_name":-85.58026339999999},{"types":["debug_info","cache_load_result"],"long_name":"hit","short_name":"hit"}]</v>
      </c>
      <c r="K267" s="9" t="b">
        <f t="shared" si="363"/>
        <v>0</v>
      </c>
      <c r="L267" s="8" t="b">
        <f t="shared" si="4"/>
        <v>1</v>
      </c>
      <c r="M267" s="10" t="b">
        <v>1</v>
      </c>
      <c r="N267" s="10">
        <v>41.6728282</v>
      </c>
      <c r="O267" s="10">
        <v>-85.5802634</v>
      </c>
      <c r="P267" s="10" t="s">
        <v>1016</v>
      </c>
      <c r="Q267" s="10" t="s">
        <v>1017</v>
      </c>
      <c r="R267" s="10">
        <v>46565.0</v>
      </c>
      <c r="S267" s="10" t="s">
        <v>47</v>
      </c>
      <c r="T267" s="19">
        <v>2196.3</v>
      </c>
      <c r="U267" s="32">
        <v>1.347210648148148</v>
      </c>
      <c r="V267" s="18">
        <v>1834.9</v>
      </c>
      <c r="W267" s="4"/>
      <c r="X267" s="4" t="str">
        <f t="shared" si="364"/>
        <v>N/A</v>
      </c>
      <c r="Y267" s="4"/>
      <c r="Z267" s="4" t="s">
        <v>38</v>
      </c>
      <c r="AA267" s="4"/>
      <c r="AB267" s="4" t="s">
        <v>1018</v>
      </c>
      <c r="AE267" s="4"/>
      <c r="AF267" s="14" t="s">
        <v>1019</v>
      </c>
    </row>
    <row r="268" hidden="1">
      <c r="A268" s="34" t="s">
        <v>930</v>
      </c>
      <c r="B268" s="4" t="s">
        <v>1020</v>
      </c>
      <c r="C268" s="4" t="s">
        <v>697</v>
      </c>
      <c r="D268" s="4"/>
      <c r="E268" s="3" t="s">
        <v>43</v>
      </c>
      <c r="F268" s="4" t="s">
        <v>1020</v>
      </c>
      <c r="G268" s="6" t="str">
        <f t="shared" si="1"/>
        <v>Link</v>
      </c>
      <c r="H268" s="3" t="s">
        <v>187</v>
      </c>
      <c r="I268" s="8" t="str">
        <f t="shared" si="2"/>
        <v>{"address_components":[{"long_name":"Abilene","types":["locality","political"],"short_name":"Abilene"},{"types":["administrative_area_level_3","political"],"long_name":"Grant Township","short_name":"Grant Township"},{"long_name":"Dickinson County","short_name":"Dickinson County","types":["administrative_area_level_2","political"]},{"long_name":"Kansas","types":["administrative_area_level_1","political"],"short_name":"KS"},{"long_name":"United States","short_name":"US","types":["country","political"]},{"long_name":"67410","short_name":"67410","types":["postal_code"]},{"long_name":"210","short_name":"210","types":["street_number"]},{"long_name":"North Buckeye Avenue","short_name":"N Buckeye Ave","types":["route"]},{"long_name":"Abilene","short_name":"Abilene","types":["locality","political"]},{"long_name":"Dickinson County","short_name":"Dickinson County","types":["administrative_area_level_2","political"]},{"long_name":"Kansas","short_name":"KS","types":["administrative_area_level_1","political"]},{"short_name":"US","types":["country","political"],"long_name":"United States"},{"types":["postal_code"],"long_name":"67410","short_name":"67410"},{"types":["postal_code_suffix"],"long_name":"2543","short_name":"2543"},{"types":["latitude"],"long_name":38.9172216,"short_name":38.9172216},{"types":["longitude"],"long_name":-97.2139094,"short_name":-97.2139094}]}</v>
      </c>
      <c r="J268" s="8" t="str">
        <f t="shared" si="3"/>
        <v>[{"long_name":"Abilene","types":["locality","political"],"short_name":"Abilene"},{"types":["administrative_area_level_3","political"],"long_name":"Grant Township","short_name":"Grant Township"},{"long_name":"Dickinson County","short_name":"Dickinson County","types":["administrative_area_level_2","political"]},{"long_name":"Kansas","types":["administrative_area_level_1","political"],"short_name":"KS"},{"long_name":"United States","short_name":"US","types":["country","political"]},{"long_name":"67410","short_name":"67410","types":["postal_code"]},{"long_name":"210","short_name":"210","types":["street_number"]},{"long_name":"North Buckeye Avenue","short_name":"N Buckeye Ave","types":["route"]},{"long_name":"Abilene","short_name":"Abilene","types":["locality","political"]},{"long_name":"Dickinson County","short_name":"Dickinson County","types":["administrative_area_level_2","political"]},{"long_name":"Kansas","short_name":"KS","types":["administrative_area_level_1","political"]},{"short_name":"US","types":["country","political"],"long_name":"United States"},{"types":["postal_code"],"long_name":"67410","short_name":"67410"},{"types":["postal_code_suffix"],"long_name":"2543","short_name":"2543"},{"types":["latitude"],"long_name":38.9172216,"short_name":38.9172216},{"types":["longitude"],"long_name":-97.2139094,"short_name":-97.2139094},{"types":["debug_info","cache_load_result"],"long_name":"hit","short_name":"hit"}]</v>
      </c>
      <c r="K268" s="9" t="b">
        <f t="shared" si="363"/>
        <v>0</v>
      </c>
      <c r="L268" s="8" t="b">
        <f t="shared" si="4"/>
        <v>1</v>
      </c>
      <c r="M268" s="10" t="b">
        <v>1</v>
      </c>
      <c r="N268" s="10">
        <v>38.9172216</v>
      </c>
      <c r="O268" s="10">
        <v>-97.2139094</v>
      </c>
      <c r="P268" s="10" t="s">
        <v>1021</v>
      </c>
      <c r="Q268" s="10" t="s">
        <v>1022</v>
      </c>
      <c r="R268" s="10">
        <v>67410.0</v>
      </c>
      <c r="S268" s="10" t="s">
        <v>47</v>
      </c>
      <c r="T268" s="19">
        <v>1751.6</v>
      </c>
      <c r="U268" s="32">
        <v>1.082685185185185</v>
      </c>
      <c r="V268" s="18">
        <v>1391.42</v>
      </c>
      <c r="W268" s="4"/>
      <c r="X268" s="4" t="str">
        <f t="shared" si="364"/>
        <v>N/A</v>
      </c>
      <c r="Y268" s="4"/>
      <c r="Z268" s="4" t="s">
        <v>38</v>
      </c>
      <c r="AA268" s="4"/>
      <c r="AB268" s="4" t="s">
        <v>1023</v>
      </c>
      <c r="AE268" s="4"/>
      <c r="AF268" s="14" t="s">
        <v>1024</v>
      </c>
    </row>
    <row r="269" hidden="1">
      <c r="A269" s="34" t="s">
        <v>930</v>
      </c>
      <c r="B269" s="4" t="s">
        <v>1025</v>
      </c>
      <c r="C269" s="4" t="s">
        <v>697</v>
      </c>
      <c r="D269" s="4"/>
      <c r="E269" s="3" t="s">
        <v>43</v>
      </c>
      <c r="F269" s="4" t="s">
        <v>1025</v>
      </c>
      <c r="G269" s="6" t="str">
        <f t="shared" si="1"/>
        <v>Link</v>
      </c>
      <c r="H269" s="3" t="s">
        <v>187</v>
      </c>
      <c r="I269" s="8" t="str">
        <f t="shared" si="2"/>
        <v>{"address_components":[{"long_name":"Bardstown","types":["locality","political"],"short_name":"Bardstown"},{"types":["administrative_area_level_2","political"],"long_name":"Nelson County","short_name":"Nelson County"},{"long_name":"Kentucky","types":["administrative_area_level_1","political"],"short_name":"KY"},{"short_name":"US","long_name":"United States","types":["country","political"]},{"short_name":"40004","types":["postal_code"],"long_name":"40004"},{"types":["street_number"],"long_name":"131","short_name":"131"},{"short_name":"N 3rd St","long_name":"North 3rd Street","types":["route"]},{"short_name":"Bardstown","long_name":"Bardstown","types":["locality","political"]},{"short_name":"Nelson County","types":["administrative_area_level_2","political"],"long_name":"Nelson County"},{"long_name":"Kentucky","short_name":"KY","types":["administrative_area_level_1","political"]},{"short_name":"US","long_name":"United States","types":["country","political"]},{"short_name":"40004","types":["postal_code"],"long_name":"40004"},{"long_name":"1543","types":["postal_code_suffix"],"short_name":"1543"},{"types":["latitude"],"long_name":37.8104984,"short_name":37.8104984},{"types":["longitude"],"long_name":-85.466402,"short_name":-85.466402}]}</v>
      </c>
      <c r="J269" s="8" t="str">
        <f t="shared" si="3"/>
        <v>[{"long_name":"Bardstown","types":["locality","political"],"short_name":"Bardstown"},{"types":["administrative_area_level_2","political"],"long_name":"Nelson County","short_name":"Nelson County"},{"long_name":"Kentucky","types":["administrative_area_level_1","political"],"short_name":"KY"},{"short_name":"US","long_name":"United States","types":["country","political"]},{"short_name":"40004","types":["postal_code"],"long_name":"40004"},{"types":["street_number"],"long_name":"131","short_name":"131"},{"short_name":"N 3rd St","long_name":"North 3rd Street","types":["route"]},{"short_name":"Bardstown","long_name":"Bardstown","types":["locality","political"]},{"short_name":"Nelson County","types":["administrative_area_level_2","political"],"long_name":"Nelson County"},{"long_name":"Kentucky","short_name":"KY","types":["administrative_area_level_1","political"]},{"short_name":"US","long_name":"United States","types":["country","political"]},{"short_name":"40004","types":["postal_code"],"long_name":"40004"},{"long_name":"1543","types":["postal_code_suffix"],"short_name":"1543"},{"types":["latitude"],"long_name":37.8104984,"short_name":37.8104984},{"types":["longitude"],"long_name":-85.466402,"short_name":-85.466402},{"types":["debug_info","cache_load_result"],"long_name":"hit","short_name":"hit"}]</v>
      </c>
      <c r="K269" s="9" t="b">
        <f t="shared" si="363"/>
        <v>0</v>
      </c>
      <c r="L269" s="8" t="b">
        <f t="shared" si="4"/>
        <v>1</v>
      </c>
      <c r="M269" s="10" t="b">
        <v>1</v>
      </c>
      <c r="N269" s="10">
        <v>37.8092279</v>
      </c>
      <c r="O269" s="10">
        <v>-85.4669025</v>
      </c>
      <c r="P269" s="10" t="s">
        <v>1026</v>
      </c>
      <c r="Q269" s="10" t="s">
        <v>1027</v>
      </c>
      <c r="R269" s="10">
        <v>40004.0</v>
      </c>
      <c r="S269" s="10" t="s">
        <v>47</v>
      </c>
      <c r="T269" s="19">
        <v>2366.4</v>
      </c>
      <c r="U269" s="32">
        <v>1.4658449074074074</v>
      </c>
      <c r="V269" s="18">
        <v>1968.91</v>
      </c>
      <c r="W269" s="4"/>
      <c r="X269" s="4" t="str">
        <f t="shared" si="364"/>
        <v>N/A</v>
      </c>
      <c r="Y269" s="4"/>
      <c r="Z269" s="4" t="s">
        <v>38</v>
      </c>
      <c r="AA269" s="4"/>
      <c r="AB269" s="4" t="s">
        <v>1028</v>
      </c>
      <c r="AE269" s="4"/>
      <c r="AF269" s="14" t="s">
        <v>1029</v>
      </c>
    </row>
    <row r="270" hidden="1">
      <c r="A270" s="34" t="s">
        <v>930</v>
      </c>
      <c r="B270" s="4" t="s">
        <v>1030</v>
      </c>
      <c r="C270" s="4" t="s">
        <v>697</v>
      </c>
      <c r="D270" s="4"/>
      <c r="E270" s="3" t="s">
        <v>43</v>
      </c>
      <c r="F270" s="4" t="s">
        <v>1030</v>
      </c>
      <c r="G270" s="6" t="str">
        <f t="shared" si="1"/>
        <v>Link</v>
      </c>
      <c r="H270" s="3" t="s">
        <v>187</v>
      </c>
      <c r="I270" s="8" t="str">
        <f t="shared" si="2"/>
        <v>{"address_components":[{"short_name":"Natchitoches","long_name":"Natchitoches","types":["locality","political"]},{"long_name":"Natchitoches Parish","types":["administrative_area_level_2","political"],"short_name":"Natchitoches Parish"},{"types":["administrative_area_level_1","political"],"short_name":"LA","long_name":"Louisiana"},{"long_name":"United States","short_name":"US","types":["country","political"]},{"long_name":"103","types":["street_number"],"short_name":"103"},{"short_name":"Church St","long_name":"Church Street","types":["route"]},{"short_name":"Downtown Historic","types":["neighborhood","political"],"long_name":"Downtown Historic"},{"long_name":"Natchitoches","short_name":"Natchitoches","types":["locality","political"]},{"short_name":"Natchitoches Parish","long_name":"Natchitoches Parish","types":["administrative_area_level_2","political"]},{"long_name":"Louisiana","short_name":"LA","types":["administrative_area_level_1","political"]},{"long_name":"United States","short_name":"US","types":["country","political"]},{"types":["postal_code"],"long_name":"71457","short_name":"71457"},{"types":["latitude"],"long_name":31.7607195,"short_name":31.7607195},{"types":["longitude"],"long_name":-93.08627489999999,"short_name":-93.08627489999999}]}</v>
      </c>
      <c r="J270" s="8" t="str">
        <f t="shared" si="3"/>
        <v>[{"short_name":"Natchitoches","long_name":"Natchitoches","types":["locality","political"]},{"long_name":"Natchitoches Parish","types":["administrative_area_level_2","political"],"short_name":"Natchitoches Parish"},{"types":["administrative_area_level_1","political"],"short_name":"LA","long_name":"Louisiana"},{"long_name":"United States","short_name":"US","types":["country","political"]},{"long_name":"103","types":["street_number"],"short_name":"103"},{"short_name":"Church St","long_name":"Church Street","types":["route"]},{"short_name":"Downtown Historic","types":["neighborhood","political"],"long_name":"Downtown Historic"},{"long_name":"Natchitoches","short_name":"Natchitoches","types":["locality","political"]},{"short_name":"Natchitoches Parish","long_name":"Natchitoches Parish","types":["administrative_area_level_2","political"]},{"long_name":"Louisiana","short_name":"LA","types":["administrative_area_level_1","political"]},{"long_name":"United States","short_name":"US","types":["country","political"]},{"types":["postal_code"],"long_name":"71457","short_name":"71457"},{"types":["latitude"],"long_name":31.7607195,"short_name":31.7607195},{"types":["longitude"],"long_name":-93.08627489999999,"short_name":-93.08627489999999},{"types":["debug_info","cache_load_result"],"long_name":"hit","short_name":"hit"}]</v>
      </c>
      <c r="K270" s="9" t="b">
        <f t="shared" si="363"/>
        <v>0</v>
      </c>
      <c r="L270" s="8" t="b">
        <f t="shared" si="4"/>
        <v>1</v>
      </c>
      <c r="M270" s="10" t="b">
        <v>1</v>
      </c>
      <c r="N270" s="10">
        <v>31.7607195</v>
      </c>
      <c r="O270" s="10">
        <v>-93.0862749</v>
      </c>
      <c r="P270" s="10" t="s">
        <v>1031</v>
      </c>
      <c r="Q270" s="10" t="s">
        <v>301</v>
      </c>
      <c r="R270" s="10">
        <v>71457.0</v>
      </c>
      <c r="S270" s="10" t="s">
        <v>47</v>
      </c>
      <c r="T270" s="19">
        <v>2337.2</v>
      </c>
      <c r="U270" s="32">
        <v>1.4718402777777777</v>
      </c>
      <c r="V270" s="18">
        <v>1884.2</v>
      </c>
      <c r="W270" s="4"/>
      <c r="X270" s="4" t="str">
        <f t="shared" si="364"/>
        <v>N/A</v>
      </c>
      <c r="Y270" s="4"/>
      <c r="Z270" s="4" t="s">
        <v>38</v>
      </c>
      <c r="AA270" s="4"/>
      <c r="AB270" s="4" t="s">
        <v>1032</v>
      </c>
      <c r="AE270" s="4"/>
      <c r="AF270" s="14" t="s">
        <v>1033</v>
      </c>
    </row>
    <row r="271" hidden="1">
      <c r="A271" s="34" t="s">
        <v>930</v>
      </c>
      <c r="B271" s="4" t="s">
        <v>1034</v>
      </c>
      <c r="C271" s="4" t="s">
        <v>697</v>
      </c>
      <c r="D271" s="4"/>
      <c r="E271" s="3" t="s">
        <v>43</v>
      </c>
      <c r="F271" s="4" t="s">
        <v>1034</v>
      </c>
      <c r="G271" s="6" t="str">
        <f t="shared" si="1"/>
        <v>Link</v>
      </c>
      <c r="H271" s="3" t="s">
        <v>187</v>
      </c>
      <c r="I271" s="8" t="str">
        <f t="shared" si="2"/>
        <v>{"address_components":[{"short_name":"Damariscotta","long_name":"Damariscotta","types":["locality","political"]},{"long_name":"Lincoln County","types":["administrative_area_level_2","political"],"short_name":"Lincoln County"},{"long_name":"Maine","short_name":"ME","types":["administrative_area_level_1","political"]},{"long_name":"United States","short_name":"US","types":["country","political"]},{"long_name":"04543","types":["postal_code"],"short_name":"04543"},{"types":["street_number"],"short_name":"248","long_name":"248"},{"long_name":"Main Street","short_name":"Main St","types":["route"]},{"short_name":"Damariscotta","types":["neighborhood","political"],"long_name":"Damariscotta"},{"types":["locality","political"],"long_name":"Damariscotta","short_name":"Damariscotta"},{"long_name":"Lincoln County","types":["administrative_area_level_2","political"],"short_name":"Lincoln County"},{"long_name":"Maine","short_name":"ME","types":["administrative_area_level_1","political"]},{"short_name":"US","long_name":"United States","types":["country","political"]},{"types":["postal_code"],"short_name":"04543","long_name":"04543"},{"types":["latitude"],"long_name":44.0318909,"short_name":44.0318909},{"types":["longitude"],"long_name":-69.5295474,"short_name":-69.5295474}]}</v>
      </c>
      <c r="J271" s="8" t="str">
        <f t="shared" si="3"/>
        <v>[{"short_name":"Damariscotta","long_name":"Damariscotta","types":["locality","political"]},{"long_name":"Lincoln County","types":["administrative_area_level_2","political"],"short_name":"Lincoln County"},{"long_name":"Maine","short_name":"ME","types":["administrative_area_level_1","political"]},{"long_name":"United States","short_name":"US","types":["country","political"]},{"long_name":"04543","types":["postal_code"],"short_name":"04543"},{"types":["street_number"],"short_name":"248","long_name":"248"},{"long_name":"Main Street","short_name":"Main St","types":["route"]},{"short_name":"Damariscotta","types":["neighborhood","political"],"long_name":"Damariscotta"},{"types":["locality","political"],"long_name":"Damariscotta","short_name":"Damariscotta"},{"long_name":"Lincoln County","types":["administrative_area_level_2","political"],"short_name":"Lincoln County"},{"long_name":"Maine","short_name":"ME","types":["administrative_area_level_1","political"]},{"short_name":"US","long_name":"United States","types":["country","political"]},{"types":["postal_code"],"short_name":"04543","long_name":"04543"},{"types":["latitude"],"long_name":44.0318909,"short_name":44.0318909},{"types":["longitude"],"long_name":-69.5295474,"short_name":-69.5295474},{"types":["debug_info","cache_load_result"],"long_name":"hit","short_name":"hit"}]</v>
      </c>
      <c r="K271" s="9" t="b">
        <f t="shared" si="363"/>
        <v>0</v>
      </c>
      <c r="L271" s="8" t="b">
        <f t="shared" si="4"/>
        <v>1</v>
      </c>
      <c r="M271" s="10" t="b">
        <v>1</v>
      </c>
      <c r="N271" s="10">
        <v>44.0328765</v>
      </c>
      <c r="O271" s="10">
        <v>-69.5188884</v>
      </c>
      <c r="P271" s="15" t="s">
        <v>1035</v>
      </c>
      <c r="Q271" s="15" t="s">
        <v>1036</v>
      </c>
      <c r="R271" s="15">
        <v>4543.0</v>
      </c>
      <c r="S271" s="15" t="s">
        <v>47</v>
      </c>
      <c r="T271" s="16">
        <v>3196.3</v>
      </c>
      <c r="U271" s="17">
        <v>1.9842708333333334</v>
      </c>
      <c r="V271" s="18">
        <v>2505.86</v>
      </c>
      <c r="W271" s="4"/>
      <c r="X271" s="4" t="str">
        <f t="shared" si="364"/>
        <v>N/A</v>
      </c>
      <c r="Y271" s="4"/>
      <c r="Z271" s="4" t="s">
        <v>38</v>
      </c>
      <c r="AA271" s="4"/>
      <c r="AB271" s="4" t="s">
        <v>1037</v>
      </c>
      <c r="AE271" s="4"/>
      <c r="AF271" s="14" t="s">
        <v>1038</v>
      </c>
    </row>
    <row r="272" hidden="1">
      <c r="A272" s="34" t="s">
        <v>930</v>
      </c>
      <c r="B272" s="4" t="s">
        <v>1039</v>
      </c>
      <c r="C272" s="4" t="s">
        <v>697</v>
      </c>
      <c r="D272" s="4"/>
      <c r="E272" s="3" t="s">
        <v>43</v>
      </c>
      <c r="F272" s="4" t="s">
        <v>1039</v>
      </c>
      <c r="G272" s="6" t="str">
        <f t="shared" si="1"/>
        <v>Link</v>
      </c>
      <c r="H272" s="3" t="s">
        <v>187</v>
      </c>
      <c r="I272" s="8" t="str">
        <f t="shared" si="2"/>
        <v>{"address_components":[{"short_name":"Frederick","long_name":"Frederick","types":["locality","political"]},{"types":["administrative_area_level_2","political"],"long_name":"Frederick County","short_name":"Frederick County"},{"short_name":"MD","long_name":"Maryland","types":["administrative_area_level_1","political"]},{"short_name":"US","types":["country","political"],"long_name":"United States"},{"types":["street_number"],"long_name":"7","short_name":"7"},{"long_name":"East Patrick Street","types":["route"],"short_name":"E Patrick St"},{"long_name":"Downtown","types":["neighborhood","political"],"short_name":"Downtown"},{"short_name":"Frederick","long_name":"Frederick","types":["locality","political"]},{"long_name":"Frederick County","short_name":"Frederick County","types":["administrative_area_level_2","political"]},{"short_name":"MD","long_name":"Maryland","types":["administrative_area_level_1","political"]},{"long_name":"United States","types":["country","political"],"short_name":"US"},{"long_name":"21701","short_name":"21701","types":["postal_code"]},{"types":["latitude"],"long_name":39.41426879999999,"short_name":39.41426879999999},{"types":["longitude"],"long_name":-77.4105409,"short_name":-77.4105409}]}</v>
      </c>
      <c r="J272" s="8" t="str">
        <f t="shared" si="3"/>
        <v>[{"short_name":"Frederick","long_name":"Frederick","types":["locality","political"]},{"types":["administrative_area_level_2","political"],"long_name":"Frederick County","short_name":"Frederick County"},{"short_name":"MD","long_name":"Maryland","types":["administrative_area_level_1","political"]},{"short_name":"US","types":["country","political"],"long_name":"United States"},{"types":["street_number"],"long_name":"7","short_name":"7"},{"long_name":"East Patrick Street","types":["route"],"short_name":"E Patrick St"},{"long_name":"Downtown","types":["neighborhood","political"],"short_name":"Downtown"},{"short_name":"Frederick","long_name":"Frederick","types":["locality","political"]},{"long_name":"Frederick County","short_name":"Frederick County","types":["administrative_area_level_2","political"]},{"short_name":"MD","long_name":"Maryland","types":["administrative_area_level_1","political"]},{"long_name":"United States","types":["country","political"],"short_name":"US"},{"long_name":"21701","short_name":"21701","types":["postal_code"]},{"types":["latitude"],"long_name":39.41426879999999,"short_name":39.41426879999999},{"types":["longitude"],"long_name":-77.4105409,"short_name":-77.4105409},{"types":["debug_info","cache_load_result"],"long_name":"hit","short_name":"hit"}]</v>
      </c>
      <c r="K272" s="9" t="b">
        <f t="shared" si="363"/>
        <v>0</v>
      </c>
      <c r="L272" s="8" t="b">
        <f t="shared" si="4"/>
        <v>1</v>
      </c>
      <c r="M272" s="10" t="b">
        <v>1</v>
      </c>
      <c r="N272" s="10">
        <v>39.4142688</v>
      </c>
      <c r="O272" s="10">
        <v>-77.4105409</v>
      </c>
      <c r="P272" s="10" t="s">
        <v>1040</v>
      </c>
      <c r="Q272" s="10" t="s">
        <v>1041</v>
      </c>
      <c r="R272" s="10">
        <v>21701.0</v>
      </c>
      <c r="S272" s="10" t="s">
        <v>47</v>
      </c>
      <c r="T272" s="19">
        <v>2696.7</v>
      </c>
      <c r="U272" s="32">
        <v>1.672662037037037</v>
      </c>
      <c r="V272" s="18">
        <v>2287.29</v>
      </c>
      <c r="W272" s="4"/>
      <c r="X272" s="4" t="str">
        <f t="shared" si="364"/>
        <v>N/A</v>
      </c>
      <c r="Y272" s="4"/>
      <c r="Z272" s="4" t="s">
        <v>38</v>
      </c>
      <c r="AA272" s="4"/>
      <c r="AB272" s="4" t="s">
        <v>1042</v>
      </c>
      <c r="AE272" s="4"/>
      <c r="AF272" s="14" t="s">
        <v>1043</v>
      </c>
    </row>
    <row r="273" hidden="1">
      <c r="A273" s="34" t="s">
        <v>930</v>
      </c>
      <c r="B273" s="4" t="s">
        <v>1044</v>
      </c>
      <c r="C273" s="4" t="s">
        <v>697</v>
      </c>
      <c r="D273" s="4"/>
      <c r="E273" s="3" t="s">
        <v>43</v>
      </c>
      <c r="F273" s="4" t="s">
        <v>1044</v>
      </c>
      <c r="G273" s="6" t="str">
        <f t="shared" si="1"/>
        <v>Link</v>
      </c>
      <c r="H273" s="3" t="s">
        <v>187</v>
      </c>
      <c r="I273" s="8" t="str">
        <f t="shared" si="2"/>
        <v>{"address_components":[{"long_name":"Grand Haven","types":["locality","political"],"short_name":"Grand Haven"},{"long_name":"Ottawa County","types":["administrative_area_level_2","political"],"short_name":"Ottawa County"},{"short_name":"MI","long_name":"Michigan","types":["administrative_area_level_1","political"]},{"short_name":"US","long_name":"United States","types":["country","political"]},{"long_name":"324-398","types":["street_number"],"short_name":"324-398"},{"short_name":"Washington Ave","long_name":"Washington Avenue","types":["route"]},{"long_name":"Grand Haven","types":["locality","political"],"short_name":"Grand Haven"},{"long_name":"Ottawa County","types":["administrative_area_level_2","political"],"short_name":"Ottawa County"},{"long_name":"Michigan","types":["administrative_area_level_1","political"],"short_name":"MI"},{"long_name":"United States","types":["country","political"],"short_name":"US"},{"short_name":"49417","long_name":"49417","types":["postal_code"]},{"short_name":"1397","long_name":"1397","types":["postal_code_suffix"]},{"types":["latitude"],"long_name":43.0630734,"short_name":43.0630734},{"types":["longitude"],"long_name":-86.22838639999999,"short_name":-86.22838639999999}]}</v>
      </c>
      <c r="J273" s="8" t="str">
        <f t="shared" si="3"/>
        <v>[{"long_name":"Grand Haven","types":["locality","political"],"short_name":"Grand Haven"},{"long_name":"Ottawa County","types":["administrative_area_level_2","political"],"short_name":"Ottawa County"},{"short_name":"MI","long_name":"Michigan","types":["administrative_area_level_1","political"]},{"short_name":"US","long_name":"United States","types":["country","political"]},{"long_name":"324-398","types":["street_number"],"short_name":"324-398"},{"short_name":"Washington Ave","long_name":"Washington Avenue","types":["route"]},{"long_name":"Grand Haven","types":["locality","political"],"short_name":"Grand Haven"},{"long_name":"Ottawa County","types":["administrative_area_level_2","political"],"short_name":"Ottawa County"},{"long_name":"Michigan","types":["administrative_area_level_1","political"],"short_name":"MI"},{"long_name":"United States","types":["country","political"],"short_name":"US"},{"short_name":"49417","long_name":"49417","types":["postal_code"]},{"short_name":"1397","long_name":"1397","types":["postal_code_suffix"]},{"types":["latitude"],"long_name":43.0630734,"short_name":43.0630734},{"types":["longitude"],"long_name":-86.22838639999999,"short_name":-86.22838639999999},{"types":["debug_info","cache_load_result"],"long_name":"hit","short_name":"hit"}]</v>
      </c>
      <c r="K273" s="9" t="b">
        <f t="shared" si="363"/>
        <v>0</v>
      </c>
      <c r="L273" s="8" t="b">
        <f t="shared" si="4"/>
        <v>1</v>
      </c>
      <c r="M273" s="10" t="b">
        <v>1</v>
      </c>
      <c r="N273" s="10">
        <v>43.0630734</v>
      </c>
      <c r="O273" s="10">
        <v>-86.2283864</v>
      </c>
      <c r="P273" s="10" t="s">
        <v>1045</v>
      </c>
      <c r="Q273" s="10" t="s">
        <v>1046</v>
      </c>
      <c r="R273" s="10">
        <v>49417.0</v>
      </c>
      <c r="S273" s="10" t="s">
        <v>47</v>
      </c>
      <c r="T273" s="19">
        <v>2071.7</v>
      </c>
      <c r="U273" s="32">
        <v>1.3516319444444445</v>
      </c>
      <c r="V273" s="18">
        <v>1765.31</v>
      </c>
      <c r="W273" s="4"/>
      <c r="X273" s="4" t="str">
        <f t="shared" si="364"/>
        <v>N/A</v>
      </c>
      <c r="Y273" s="4"/>
      <c r="Z273" s="4" t="s">
        <v>38</v>
      </c>
      <c r="AA273" s="4"/>
      <c r="AB273" s="4" t="s">
        <v>1047</v>
      </c>
      <c r="AE273" s="4"/>
      <c r="AF273" s="14" t="s">
        <v>1048</v>
      </c>
    </row>
    <row r="274" hidden="1">
      <c r="A274" s="34" t="s">
        <v>930</v>
      </c>
      <c r="B274" s="4" t="s">
        <v>1049</v>
      </c>
      <c r="C274" s="4" t="s">
        <v>697</v>
      </c>
      <c r="D274" s="4"/>
      <c r="E274" s="3" t="s">
        <v>43</v>
      </c>
      <c r="F274" s="4" t="s">
        <v>1049</v>
      </c>
      <c r="G274" s="6" t="str">
        <f t="shared" si="1"/>
        <v>Link</v>
      </c>
      <c r="H274" s="3" t="s">
        <v>187</v>
      </c>
      <c r="I274" s="8" t="str">
        <f t="shared" si="2"/>
        <v>{"address_components":[{"types":["locality","political"],"long_name":"Lanesboro","short_name":"Lanesboro"},{"long_name":"Holt Township","types":["administrative_area_level_3","political"],"short_name":"Holt Township"},{"types":["administrative_area_level_2","political"],"long_name":"Fillmore County","short_name":"Fillmore County"},{"long_name":"Minnesota","short_name":"MN","types":["administrative_area_level_1","political"]},{"long_name":"United States","short_name":"US","types":["country","political"]},{"long_name":"55949","types":["postal_code"],"short_name":"55949"},{"short_name":"202","types":["street_number"],"long_name":"202"},{"long_name":"Parkway Avenue South","short_name":"Parkway Ave S","types":["route"]},{"short_name":"Lanesboro","types":["locality","political"],"long_name":"Lanesboro"},{"long_name":"Fillmore County","types":["administrative_area_level_2","political"],"short_name":"Fillmore County"},{"types":["administrative_area_level_1","political"],"long_name":"Minnesota","short_name":"MN"},{"long_name":"United States","short_name":"US","types":["country","political"]},{"long_name":"55949","short_name":"55949","types":["postal_code"]},{"types":["latitude"],"long_name":43.7187813,"short_name":43.7187813},{"types":["longitude"],"long_name":-91.97592039999999,"short_name":-91.97592039999999}]}</v>
      </c>
      <c r="J274" s="8" t="str">
        <f t="shared" si="3"/>
        <v>[{"types":["locality","political"],"long_name":"Lanesboro","short_name":"Lanesboro"},{"long_name":"Holt Township","types":["administrative_area_level_3","political"],"short_name":"Holt Township"},{"types":["administrative_area_level_2","political"],"long_name":"Fillmore County","short_name":"Fillmore County"},{"long_name":"Minnesota","short_name":"MN","types":["administrative_area_level_1","political"]},{"long_name":"United States","short_name":"US","types":["country","political"]},{"long_name":"55949","types":["postal_code"],"short_name":"55949"},{"short_name":"202","types":["street_number"],"long_name":"202"},{"long_name":"Parkway Avenue South","short_name":"Parkway Ave S","types":["route"]},{"short_name":"Lanesboro","types":["locality","political"],"long_name":"Lanesboro"},{"long_name":"Fillmore County","types":["administrative_area_level_2","political"],"short_name":"Fillmore County"},{"types":["administrative_area_level_1","political"],"long_name":"Minnesota","short_name":"MN"},{"long_name":"United States","short_name":"US","types":["country","political"]},{"long_name":"55949","short_name":"55949","types":["postal_code"]},{"types":["latitude"],"long_name":43.7187813,"short_name":43.7187813},{"types":["longitude"],"long_name":-91.97592039999999,"short_name":-91.97592039999999},{"types":["debug_info","cache_load_result"],"long_name":"hit","short_name":"hit"}]</v>
      </c>
      <c r="K274" s="9" t="b">
        <f t="shared" si="363"/>
        <v>0</v>
      </c>
      <c r="L274" s="8" t="b">
        <f t="shared" si="4"/>
        <v>1</v>
      </c>
      <c r="M274" s="10" t="b">
        <v>1</v>
      </c>
      <c r="N274" s="10">
        <v>43.7187813</v>
      </c>
      <c r="O274" s="10">
        <v>-91.9759204</v>
      </c>
      <c r="P274" s="10" t="s">
        <v>1050</v>
      </c>
      <c r="Q274" s="10" t="s">
        <v>1051</v>
      </c>
      <c r="R274" s="10">
        <v>55949.0</v>
      </c>
      <c r="S274" s="10" t="s">
        <v>47</v>
      </c>
      <c r="T274" s="19">
        <v>1720.6</v>
      </c>
      <c r="U274" s="32">
        <v>1.073125</v>
      </c>
      <c r="V274" s="18">
        <v>1480.81</v>
      </c>
      <c r="W274" s="4"/>
      <c r="X274" s="4" t="str">
        <f t="shared" si="364"/>
        <v>N/A</v>
      </c>
      <c r="Y274" s="4"/>
      <c r="Z274" s="4" t="s">
        <v>38</v>
      </c>
      <c r="AA274" s="4"/>
      <c r="AB274" s="4" t="s">
        <v>1052</v>
      </c>
      <c r="AE274" s="4"/>
      <c r="AF274" s="14" t="s">
        <v>1053</v>
      </c>
    </row>
    <row r="275" hidden="1">
      <c r="A275" s="34" t="s">
        <v>930</v>
      </c>
      <c r="B275" s="4" t="s">
        <v>1054</v>
      </c>
      <c r="C275" s="4" t="s">
        <v>697</v>
      </c>
      <c r="D275" s="4"/>
      <c r="E275" s="3" t="s">
        <v>43</v>
      </c>
      <c r="F275" s="4" t="s">
        <v>1054</v>
      </c>
      <c r="G275" s="6" t="str">
        <f t="shared" si="1"/>
        <v>Link</v>
      </c>
      <c r="H275" s="3" t="s">
        <v>187</v>
      </c>
      <c r="I275" s="8" t="str">
        <f t="shared" si="2"/>
        <v>{"address_components":[{"short_name":"Canton","long_name":"Canton","types":["locality","political"]},{"long_name":"Madison County","types":["administrative_area_level_2","political"],"short_name":"Madison County"},{"long_name":"Mississippi","short_name":"MS","types":["administrative_area_level_1","political"]},{"long_name":"United States","short_name":"US","types":["country","political"]},{"types":["street_number"],"short_name":"112","long_name":"112"},{"short_name":"Smith St","long_name":"Smith Street","types":["route"]},{"types":["locality","political"],"short_name":"Canton","long_name":"Canton"},{"types":["administrative_area_level_2","political"],"short_name":"Madison County","long_name":"Madison County"},{"long_name":"Mississippi","short_name":"MS","types":["administrative_area_level_1","political"]},{"long_name":"United States","short_name":"US","types":["country","political"]},{"long_name":"39046","short_name":"39046","types":["postal_code"]},{"short_name":"7016","long_name":"7016","types":["postal_code_suffix"]},{"types":["latitude"],"long_name":32.6126381,"short_name":32.6126381},{"types":["longitude"],"long_name":-90.0367512,"short_name":-90.0367512}]}</v>
      </c>
      <c r="J275" s="8" t="str">
        <f t="shared" si="3"/>
        <v>[{"short_name":"Canton","long_name":"Canton","types":["locality","political"]},{"long_name":"Madison County","types":["administrative_area_level_2","political"],"short_name":"Madison County"},{"long_name":"Mississippi","short_name":"MS","types":["administrative_area_level_1","political"]},{"long_name":"United States","short_name":"US","types":["country","political"]},{"types":["street_number"],"short_name":"112","long_name":"112"},{"short_name":"Smith St","long_name":"Smith Street","types":["route"]},{"types":["locality","political"],"short_name":"Canton","long_name":"Canton"},{"types":["administrative_area_level_2","political"],"short_name":"Madison County","long_name":"Madison County"},{"long_name":"Mississippi","short_name":"MS","types":["administrative_area_level_1","political"]},{"long_name":"United States","short_name":"US","types":["country","political"]},{"long_name":"39046","short_name":"39046","types":["postal_code"]},{"short_name":"7016","long_name":"7016","types":["postal_code_suffix"]},{"types":["latitude"],"long_name":32.6126381,"short_name":32.6126381},{"types":["longitude"],"long_name":-90.0367512,"short_name":-90.0367512},{"types":["debug_info","cache_load_result"],"long_name":"hit","short_name":"hit"}]</v>
      </c>
      <c r="K275" s="9" t="b">
        <f t="shared" si="363"/>
        <v>0</v>
      </c>
      <c r="L275" s="8" t="b">
        <f t="shared" si="4"/>
        <v>1</v>
      </c>
      <c r="M275" s="10" t="b">
        <v>1</v>
      </c>
      <c r="N275" s="10">
        <v>32.6126381</v>
      </c>
      <c r="O275" s="10">
        <v>-90.0367512</v>
      </c>
      <c r="P275" s="10" t="s">
        <v>1055</v>
      </c>
      <c r="Q275" s="10" t="s">
        <v>1056</v>
      </c>
      <c r="R275" s="10">
        <v>39046.0</v>
      </c>
      <c r="S275" s="10" t="s">
        <v>47</v>
      </c>
      <c r="T275" s="19">
        <v>2467.6</v>
      </c>
      <c r="U275" s="32">
        <v>1.5521296296296296</v>
      </c>
      <c r="V275" s="18">
        <v>1975.71</v>
      </c>
      <c r="W275" s="4"/>
      <c r="X275" s="4" t="str">
        <f t="shared" si="364"/>
        <v>N/A</v>
      </c>
      <c r="Y275" s="4"/>
      <c r="Z275" s="4" t="s">
        <v>38</v>
      </c>
      <c r="AA275" s="4"/>
      <c r="AB275" s="4" t="s">
        <v>1057</v>
      </c>
      <c r="AE275" s="4"/>
      <c r="AF275" s="14" t="s">
        <v>1058</v>
      </c>
    </row>
    <row r="276" hidden="1">
      <c r="A276" s="34" t="s">
        <v>930</v>
      </c>
      <c r="B276" s="4" t="s">
        <v>1059</v>
      </c>
      <c r="C276" s="4" t="s">
        <v>697</v>
      </c>
      <c r="D276" s="4"/>
      <c r="E276" s="3" t="s">
        <v>43</v>
      </c>
      <c r="F276" s="4" t="s">
        <v>1059</v>
      </c>
      <c r="G276" s="6" t="str">
        <f t="shared" si="1"/>
        <v>Link</v>
      </c>
      <c r="H276" s="3" t="s">
        <v>187</v>
      </c>
      <c r="I276" s="8" t="str">
        <f t="shared" si="2"/>
        <v>{"address_components":[{"long_name":"Ste. Genevieve","types":["locality","political"],"short_name":"Ste. Genevieve"},{"types":["administrative_area_level_3","political"],"short_name":"Ste. Genevieve Township","long_name":"Ste. Genevieve Township"},{"short_name":"Ste. Genevieve County","long_name":"Ste. Genevieve County","types":["administrative_area_level_2","political"]},{"types":["administrative_area_level_1","political"],"long_name":"Missouri","short_name":"MO"},{"long_name":"United States","short_name":"US","types":["country","political"]},{"short_name":"63670","long_name":"63670","types":["postal_code"]},{"short_name":"401","long_name":"401","types":["street_number"]},{"long_name":"Market Street","short_name":"Market St","types":["route"]},{"short_name":"Ste. Genevieve","types":["locality","political"],"long_name":"Ste. Genevieve"},{"long_name":"Ste. Genevieve Township","types":["administrative_area_level_3","political"],"short_name":"Ste. Genevieve Township"},{"types":["administrative_area_level_2","political"],"long_name":"Ste. Genevieve County","short_name":"Ste. Genevieve County"},{"long_name":"Missouri","short_name":"MO","types":["administrative_area_level_1","political"]},{"short_name":"US","long_name":"United States","types":["country","political"]},{"types":["postal_code"],"long_name":"63670","short_name":"63670"},{"short_name":"1519","long_name":"1519","types":["postal_code_suffix"]},{"types":["latitude"],"long_name":37.9786618,"short_name":37.9786618},{"types":["longitude"],"long_name":-90.0475582,"short_name":-90.0475582}]}</v>
      </c>
      <c r="J276" s="8" t="str">
        <f t="shared" si="3"/>
        <v>[{"long_name":"Ste. Genevieve","types":["locality","political"],"short_name":"Ste. Genevieve"},{"types":["administrative_area_level_3","political"],"short_name":"Ste. Genevieve Township","long_name":"Ste. Genevieve Township"},{"short_name":"Ste. Genevieve County","long_name":"Ste. Genevieve County","types":["administrative_area_level_2","political"]},{"types":["administrative_area_level_1","political"],"long_name":"Missouri","short_name":"MO"},{"long_name":"United States","short_name":"US","types":["country","political"]},{"short_name":"63670","long_name":"63670","types":["postal_code"]},{"short_name":"401","long_name":"401","types":["street_number"]},{"long_name":"Market Street","short_name":"Market St","types":["route"]},{"short_name":"Ste. Genevieve","types":["locality","political"],"long_name":"Ste. Genevieve"},{"long_name":"Ste. Genevieve Township","types":["administrative_area_level_3","political"],"short_name":"Ste. Genevieve Township"},{"types":["administrative_area_level_2","political"],"long_name":"Ste. Genevieve County","short_name":"Ste. Genevieve County"},{"long_name":"Missouri","short_name":"MO","types":["administrative_area_level_1","political"]},{"short_name":"US","long_name":"United States","types":["country","political"]},{"types":["postal_code"],"long_name":"63670","short_name":"63670"},{"short_name":"1519","long_name":"1519","types":["postal_code_suffix"]},{"types":["latitude"],"long_name":37.9786618,"short_name":37.9786618},{"types":["longitude"],"long_name":-90.0475582,"short_name":-90.0475582},{"types":["debug_info","cache_load_result"],"long_name":"hit","short_name":"hit"}]</v>
      </c>
      <c r="K276" s="9" t="b">
        <f t="shared" si="363"/>
        <v>0</v>
      </c>
      <c r="L276" s="8" t="b">
        <f t="shared" si="4"/>
        <v>1</v>
      </c>
      <c r="M276" s="10" t="b">
        <v>1</v>
      </c>
      <c r="N276" s="10">
        <v>37.9786618</v>
      </c>
      <c r="O276" s="10">
        <v>-90.0475582</v>
      </c>
      <c r="P276" s="10" t="s">
        <v>1060</v>
      </c>
      <c r="Q276" s="10" t="s">
        <v>1061</v>
      </c>
      <c r="R276" s="10">
        <v>63670.0</v>
      </c>
      <c r="S276" s="10" t="s">
        <v>47</v>
      </c>
      <c r="T276" s="19">
        <v>2129.4</v>
      </c>
      <c r="U276" s="32">
        <v>1.319386574074074</v>
      </c>
      <c r="V276" s="18">
        <v>1751.62</v>
      </c>
      <c r="W276" s="4"/>
      <c r="X276" s="4" t="str">
        <f t="shared" si="364"/>
        <v>N/A</v>
      </c>
      <c r="Y276" s="4"/>
      <c r="Z276" s="4" t="s">
        <v>38</v>
      </c>
      <c r="AA276" s="4"/>
      <c r="AB276" s="4" t="s">
        <v>1062</v>
      </c>
      <c r="AE276" s="4"/>
      <c r="AF276" s="14" t="s">
        <v>1063</v>
      </c>
    </row>
    <row r="277" hidden="1">
      <c r="A277" s="34" t="s">
        <v>930</v>
      </c>
      <c r="B277" s="4" t="s">
        <v>1064</v>
      </c>
      <c r="C277" s="4" t="s">
        <v>697</v>
      </c>
      <c r="D277" s="4"/>
      <c r="E277" s="3" t="s">
        <v>43</v>
      </c>
      <c r="F277" s="4" t="s">
        <v>1064</v>
      </c>
      <c r="G277" s="6" t="str">
        <f t="shared" si="1"/>
        <v>Link</v>
      </c>
      <c r="H277" s="3" t="s">
        <v>187</v>
      </c>
      <c r="I277" s="8" t="str">
        <f t="shared" si="2"/>
        <v>{"address_components":[{"long_name":"Keene","short_name":"Keene","types":["locality","political"]},{"long_name":"Cheshire County","short_name":"Cheshire County","types":["administrative_area_level_2","political"]},{"long_name":"New Hampshire","short_name":"NH","types":["administrative_area_level_1","political"]},{"long_name":"United States","short_name":"US","types":["country","political"]},{"long_name":"11","short_name":"11","types":["street_number"]},{"long_name":"Central Square","short_name":"Central Square","types":["route"]},{"long_name":"Keene","short_name":"Keene","types":["locality","political"]},{"long_name":"Cheshire County","short_name":"Cheshire County","types":["administrative_area_level_2","political"]},{"long_name":"New Hampshire","short_name":"NH","types":["administrative_area_level_1","political"]},{"long_name":"United States","short_name":"US","types":["country","political"]},{"long_name":"03431","short_name":"03431","types":["postal_code"]},{"types":["latitude"],"long_name":42.933692,"short_name":42.933692},{"types":["longitude"],"long_name":-72.2781409,"short_name":-72.2781409}]}</v>
      </c>
      <c r="J277" s="8" t="str">
        <f t="shared" si="3"/>
        <v>[{"long_name":"Keene","short_name":"Keene","types":["locality","political"]},{"long_name":"Cheshire County","short_name":"Cheshire County","types":["administrative_area_level_2","political"]},{"long_name":"New Hampshire","short_name":"NH","types":["administrative_area_level_1","political"]},{"long_name":"United States","short_name":"US","types":["country","political"]},{"long_name":"11","short_name":"11","types":["street_number"]},{"long_name":"Central Square","short_name":"Central Square","types":["route"]},{"long_name":"Keene","short_name":"Keene","types":["locality","political"]},{"long_name":"Cheshire County","short_name":"Cheshire County","types":["administrative_area_level_2","political"]},{"long_name":"New Hampshire","short_name":"NH","types":["administrative_area_level_1","political"]},{"long_name":"United States","short_name":"US","types":["country","political"]},{"long_name":"03431","short_name":"03431","types":["postal_code"]},{"types":["latitude"],"long_name":42.933692,"short_name":42.933692},{"types":["longitude"],"long_name":-72.2781409,"short_name":-72.2781409},{"types":["debug_info","cache_load_result"],"long_name":"hit","short_name":"hit"}]</v>
      </c>
      <c r="K277" s="9" t="b">
        <f t="shared" si="363"/>
        <v>0</v>
      </c>
      <c r="L277" s="8" t="b">
        <f t="shared" si="4"/>
        <v>1</v>
      </c>
      <c r="M277" s="10" t="b">
        <v>1</v>
      </c>
      <c r="N277" s="10">
        <v>42.933692</v>
      </c>
      <c r="O277" s="10">
        <v>-72.2781409</v>
      </c>
      <c r="P277" s="15" t="s">
        <v>1065</v>
      </c>
      <c r="Q277" s="15" t="s">
        <v>1066</v>
      </c>
      <c r="R277" s="15">
        <v>3431.0</v>
      </c>
      <c r="S277" s="15" t="s">
        <v>47</v>
      </c>
      <c r="T277" s="16">
        <v>2951.2</v>
      </c>
      <c r="U277" s="17">
        <v>1.8551273148148149</v>
      </c>
      <c r="V277" s="18">
        <v>2412.81</v>
      </c>
      <c r="W277" s="4"/>
      <c r="X277" s="4" t="str">
        <f t="shared" si="364"/>
        <v>N/A</v>
      </c>
      <c r="Y277" s="4"/>
      <c r="Z277" s="4" t="s">
        <v>38</v>
      </c>
      <c r="AA277" s="4"/>
      <c r="AB277" s="4" t="s">
        <v>1067</v>
      </c>
      <c r="AE277" s="4"/>
      <c r="AF277" s="14" t="s">
        <v>1068</v>
      </c>
    </row>
    <row r="278" hidden="1">
      <c r="A278" s="34" t="s">
        <v>930</v>
      </c>
      <c r="B278" s="4" t="s">
        <v>1069</v>
      </c>
      <c r="C278" s="4" t="s">
        <v>697</v>
      </c>
      <c r="D278" s="4"/>
      <c r="E278" s="3" t="s">
        <v>43</v>
      </c>
      <c r="F278" s="4" t="s">
        <v>1069</v>
      </c>
      <c r="G278" s="6" t="str">
        <f t="shared" si="1"/>
        <v>Link</v>
      </c>
      <c r="H278" s="3" t="s">
        <v>187</v>
      </c>
      <c r="I278" s="8" t="str">
        <f t="shared" si="2"/>
        <v>{"address_components":[{"long_name":"Wolfeboro","types":["locality","political"],"short_name":"Wolfeboro"},{"long_name":"Carroll County","types":["administrative_area_level_2","political"],"short_name":"Carroll County"},{"types":["administrative_area_level_1","political"],"short_name":"NH","long_name":"New Hampshire"},{"short_name":"US","long_name":"United States","types":["country","political"]},{"long_name":"70","short_name":"70","types":["street_number"]},{"long_name":"South Main Street","types":["route"],"short_name":"S Main St"},{"types":["neighborhood","political"],"long_name":"Wolfeboro","short_name":"Wolfeboro"},{"long_name":"Wolfeboro","types":["locality","political"],"short_name":"Wolfeboro"},{"short_name":"Carroll County","long_name":"Carroll County","types":["administrative_area_level_2","political"]},{"long_name":"New Hampshire","types":["administrative_area_level_1","political"],"short_name":"NH"},{"long_name":"United States","short_name":"US","types":["country","political"]},{"short_name":"03894","long_name":"03894","types":["postal_code"]},{"long_name":"4385","types":["postal_code_suffix"],"short_name":"4385"},{"types":["latitude"],"long_name":43.5844975,"short_name":43.5844975},{"types":["longitude"],"long_name":-71.2105499,"short_name":-71.2105499}]}</v>
      </c>
      <c r="J278" s="8" t="str">
        <f t="shared" si="3"/>
        <v>[{"long_name":"Wolfeboro","types":["locality","political"],"short_name":"Wolfeboro"},{"long_name":"Carroll County","types":["administrative_area_level_2","political"],"short_name":"Carroll County"},{"types":["administrative_area_level_1","political"],"short_name":"NH","long_name":"New Hampshire"},{"short_name":"US","long_name":"United States","types":["country","political"]},{"long_name":"70","short_name":"70","types":["street_number"]},{"long_name":"South Main Street","types":["route"],"short_name":"S Main St"},{"types":["neighborhood","political"],"long_name":"Wolfeboro","short_name":"Wolfeboro"},{"long_name":"Wolfeboro","types":["locality","political"],"short_name":"Wolfeboro"},{"short_name":"Carroll County","long_name":"Carroll County","types":["administrative_area_level_2","political"]},{"long_name":"New Hampshire","types":["administrative_area_level_1","political"],"short_name":"NH"},{"long_name":"United States","short_name":"US","types":["country","political"]},{"short_name":"03894","long_name":"03894","types":["postal_code"]},{"long_name":"4385","types":["postal_code_suffix"],"short_name":"4385"},{"types":["latitude"],"long_name":43.5844975,"short_name":43.5844975},{"types":["longitude"],"long_name":-71.2105499,"short_name":-71.2105499},{"types":["debug_info","cache_load_result"],"long_name":"hit","short_name":"hit"}]</v>
      </c>
      <c r="K278" s="9" t="b">
        <f t="shared" si="363"/>
        <v>0</v>
      </c>
      <c r="L278" s="8" t="b">
        <f t="shared" si="4"/>
        <v>1</v>
      </c>
      <c r="M278" s="10" t="b">
        <v>1</v>
      </c>
      <c r="N278" s="10">
        <v>43.5852069</v>
      </c>
      <c r="O278" s="10">
        <v>-71.2094799</v>
      </c>
      <c r="P278" s="15" t="s">
        <v>1070</v>
      </c>
      <c r="Q278" s="15" t="s">
        <v>1066</v>
      </c>
      <c r="R278" s="15">
        <v>3894.0</v>
      </c>
      <c r="S278" s="15" t="s">
        <v>47</v>
      </c>
      <c r="T278" s="16">
        <v>3043.5</v>
      </c>
      <c r="U278" s="17">
        <v>1.9248958333333333</v>
      </c>
      <c r="V278" s="18">
        <v>2442.34</v>
      </c>
      <c r="W278" s="4"/>
      <c r="X278" s="4" t="str">
        <f t="shared" si="364"/>
        <v>N/A</v>
      </c>
      <c r="Y278" s="4"/>
      <c r="Z278" s="4" t="s">
        <v>38</v>
      </c>
      <c r="AA278" s="4"/>
      <c r="AB278" s="4" t="s">
        <v>1071</v>
      </c>
      <c r="AE278" s="4"/>
      <c r="AF278" s="14" t="s">
        <v>1072</v>
      </c>
    </row>
    <row r="279" hidden="1">
      <c r="A279" s="34" t="s">
        <v>930</v>
      </c>
      <c r="B279" s="4" t="s">
        <v>1073</v>
      </c>
      <c r="C279" s="4" t="s">
        <v>697</v>
      </c>
      <c r="D279" s="4"/>
      <c r="E279" s="3" t="s">
        <v>43</v>
      </c>
      <c r="F279" s="4" t="s">
        <v>1073</v>
      </c>
      <c r="G279" s="6" t="str">
        <f t="shared" si="1"/>
        <v>Link</v>
      </c>
      <c r="H279" s="3" t="s">
        <v>187</v>
      </c>
      <c r="I279" s="8" t="str">
        <f t="shared" si="2"/>
        <v>{"address_components":[{"types":["locality","political"],"long_name":"Frenchtown","short_name":"Frenchtown"},{"long_name":"Tinicum Township","short_name":"Tinicum Township","types":["administrative_area_level_3","political"]},{"types":["administrative_area_level_2","political"],"long_name":"Hunterdon County","short_name":"Hunterdon County"},{"short_name":"NJ","long_name":"New Jersey","types":["administrative_area_level_1","political"]},{"long_name":"United States","short_name":"US","types":["country","political"]},{"types":["postal_code"],"long_name":"08825","short_name":"08825"},{"types":["street_number"],"short_name":"55","long_name":"55"},{"long_name":"Bridge Street","short_name":"Bridge St","types":["route"]},{"short_name":"Frenchtown","long_name":"Frenchtown","types":["locality","political"]},{"types":["administrative_area_level_2","political"],"long_name":"Hunterdon County","short_name":"Hunterdon County"},{"types":["administrative_area_level_1","political"],"short_name":"NJ","long_name":"New Jersey"},{"long_name":"United States","types":["country","political"],"short_name":"US"},{"short_name":"08825","types":["postal_code"],"long_name":"08825"},{"short_name":"1229","long_name":"1229","types":["postal_code_suffix"]},{"types":["latitude"],"long_name":40.5264471,"short_name":40.5264471},{"types":["longitude"],"long_name":-75.0609228,"short_name":-75.0609228}]}</v>
      </c>
      <c r="J279" s="8" t="str">
        <f t="shared" si="3"/>
        <v>[{"types":["locality","political"],"long_name":"Frenchtown","short_name":"Frenchtown"},{"long_name":"Tinicum Township","short_name":"Tinicum Township","types":["administrative_area_level_3","political"]},{"types":["administrative_area_level_2","political"],"long_name":"Hunterdon County","short_name":"Hunterdon County"},{"short_name":"NJ","long_name":"New Jersey","types":["administrative_area_level_1","political"]},{"long_name":"United States","short_name":"US","types":["country","political"]},{"types":["postal_code"],"long_name":"08825","short_name":"08825"},{"types":["street_number"],"short_name":"55","long_name":"55"},{"long_name":"Bridge Street","short_name":"Bridge St","types":["route"]},{"short_name":"Frenchtown","long_name":"Frenchtown","types":["locality","political"]},{"types":["administrative_area_level_2","political"],"long_name":"Hunterdon County","short_name":"Hunterdon County"},{"types":["administrative_area_level_1","political"],"short_name":"NJ","long_name":"New Jersey"},{"long_name":"United States","types":["country","political"],"short_name":"US"},{"short_name":"08825","types":["postal_code"],"long_name":"08825"},{"short_name":"1229","long_name":"1229","types":["postal_code_suffix"]},{"types":["latitude"],"long_name":40.5264471,"short_name":40.5264471},{"types":["longitude"],"long_name":-75.0609228,"short_name":-75.0609228},{"types":["debug_info","cache_load_result"],"long_name":"hit","short_name":"hit"}]</v>
      </c>
      <c r="K279" s="9" t="b">
        <f t="shared" si="363"/>
        <v>0</v>
      </c>
      <c r="L279" s="8" t="b">
        <f t="shared" si="4"/>
        <v>1</v>
      </c>
      <c r="M279" s="10" t="b">
        <v>1</v>
      </c>
      <c r="N279" s="10">
        <v>40.5262138</v>
      </c>
      <c r="O279" s="10">
        <v>-75.06156</v>
      </c>
      <c r="P279" s="10" t="s">
        <v>1074</v>
      </c>
      <c r="Q279" s="10" t="s">
        <v>1075</v>
      </c>
      <c r="R279" s="10">
        <v>8825.0</v>
      </c>
      <c r="S279" s="10" t="s">
        <v>47</v>
      </c>
      <c r="T279" s="19">
        <v>2802.8</v>
      </c>
      <c r="U279" s="32">
        <v>1.7395138888888888</v>
      </c>
      <c r="V279" s="18">
        <v>2359.51</v>
      </c>
      <c r="W279" s="4"/>
      <c r="X279" s="4" t="str">
        <f t="shared" si="364"/>
        <v>N/A</v>
      </c>
      <c r="Y279" s="4"/>
      <c r="Z279" s="4" t="s">
        <v>38</v>
      </c>
      <c r="AA279" s="4"/>
      <c r="AB279" s="4" t="s">
        <v>1076</v>
      </c>
      <c r="AE279" s="4"/>
      <c r="AF279" s="14" t="s">
        <v>1077</v>
      </c>
    </row>
    <row r="280" hidden="1">
      <c r="A280" s="34" t="s">
        <v>930</v>
      </c>
      <c r="B280" s="4" t="s">
        <v>1078</v>
      </c>
      <c r="C280" s="4" t="s">
        <v>697</v>
      </c>
      <c r="D280" s="4"/>
      <c r="E280" s="3" t="s">
        <v>43</v>
      </c>
      <c r="F280" s="4" t="s">
        <v>1078</v>
      </c>
      <c r="G280" s="6" t="str">
        <f t="shared" si="1"/>
        <v>Link</v>
      </c>
      <c r="H280" s="3" t="s">
        <v>187</v>
      </c>
      <c r="I280" s="8" t="str">
        <f t="shared" si="2"/>
        <v>{"address_components":[{"short_name":"Gallup","types":["locality","political"],"long_name":"Gallup"},{"long_name":"McKinley County","types":["administrative_area_level_2","political"],"short_name":"McKinley County"},{"long_name":"New Mexico","short_name":"NM","types":["administrative_area_level_1","political"]},{"short_name":"US","types":["country","political"],"long_name":"United States"},{"types":["street_number"],"long_name":"311","short_name":"311"},{"short_name":"S 2nd St","long_name":"South 2nd Street","types":["route"]},{"long_name":"Gallup","types":["locality","political"],"short_name":"Gallup"},{"long_name":"McKinley County","short_name":"McKinley County","types":["administrative_area_level_2","political"]},{"short_name":"NM","types":["administrative_area_level_1","political"],"long_name":"New Mexico"},{"types":["country","political"],"long_name":"United States","short_name":"US"},{"short_name":"87301","types":["postal_code"],"long_name":"87301"},{"types":["latitude"],"long_name":35.5263073,"short_name":35.5263073},{"types":["longitude"],"long_name":-108.7420186,"short_name":-108.7420186}]}</v>
      </c>
      <c r="J280" s="8" t="str">
        <f t="shared" si="3"/>
        <v>[{"short_name":"Gallup","types":["locality","political"],"long_name":"Gallup"},{"long_name":"McKinley County","types":["administrative_area_level_2","political"],"short_name":"McKinley County"},{"long_name":"New Mexico","short_name":"NM","types":["administrative_area_level_1","political"]},{"short_name":"US","types":["country","political"],"long_name":"United States"},{"types":["street_number"],"long_name":"311","short_name":"311"},{"short_name":"S 2nd St","long_name":"South 2nd Street","types":["route"]},{"long_name":"Gallup","types":["locality","political"],"short_name":"Gallup"},{"long_name":"McKinley County","short_name":"McKinley County","types":["administrative_area_level_2","political"]},{"short_name":"NM","types":["administrative_area_level_1","political"],"long_name":"New Mexico"},{"types":["country","political"],"long_name":"United States","short_name":"US"},{"short_name":"87301","types":["postal_code"],"long_name":"87301"},{"types":["latitude"],"long_name":35.5263073,"short_name":35.5263073},{"types":["longitude"],"long_name":-108.7420186,"short_name":-108.7420186},{"types":["debug_info","cache_load_result"],"long_name":"hit","short_name":"hit"}]</v>
      </c>
      <c r="K280" s="9" t="b">
        <f t="shared" si="363"/>
        <v>0</v>
      </c>
      <c r="L280" s="8" t="b">
        <f t="shared" si="4"/>
        <v>1</v>
      </c>
      <c r="M280" s="10" t="b">
        <v>1</v>
      </c>
      <c r="N280" s="10">
        <v>35.5280783</v>
      </c>
      <c r="O280" s="10">
        <v>-108.7425843</v>
      </c>
      <c r="P280" s="10" t="s">
        <v>1079</v>
      </c>
      <c r="Q280" s="10" t="s">
        <v>122</v>
      </c>
      <c r="R280" s="10">
        <v>87301.0</v>
      </c>
      <c r="S280" s="10" t="s">
        <v>47</v>
      </c>
      <c r="T280" s="19">
        <v>1311.5</v>
      </c>
      <c r="U280" s="32">
        <v>0.8565972222222222</v>
      </c>
      <c r="V280" s="18">
        <v>1088.26</v>
      </c>
      <c r="W280" s="4"/>
      <c r="X280" s="4" t="str">
        <f t="shared" si="364"/>
        <v>N/A</v>
      </c>
      <c r="Y280" s="4"/>
      <c r="Z280" s="4" t="s">
        <v>38</v>
      </c>
      <c r="AA280" s="4"/>
      <c r="AB280" s="4" t="s">
        <v>1080</v>
      </c>
      <c r="AE280" s="4"/>
      <c r="AF280" s="14" t="s">
        <v>1081</v>
      </c>
    </row>
    <row r="281" hidden="1">
      <c r="A281" s="34" t="s">
        <v>930</v>
      </c>
      <c r="B281" s="4" t="s">
        <v>1082</v>
      </c>
      <c r="C281" s="4" t="s">
        <v>697</v>
      </c>
      <c r="D281" s="4"/>
      <c r="E281" s="3" t="s">
        <v>43</v>
      </c>
      <c r="F281" s="4" t="s">
        <v>1082</v>
      </c>
      <c r="G281" s="6" t="str">
        <f t="shared" si="1"/>
        <v>Link</v>
      </c>
      <c r="H281" s="3" t="s">
        <v>187</v>
      </c>
      <c r="I281" s="8" t="str">
        <f t="shared" si="2"/>
        <v>{"address_components":[{"long_name":"Skaneateles","short_name":"Skaneateles","types":["locality","political"]},{"long_name":"Skaneateles","types":["administrative_area_level_3","political"],"short_name":"Skaneateles"},{"short_name":"Onondaga County","types":["administrative_area_level_2","political"],"long_name":"Onondaga County"},{"long_name":"New York","short_name":"NY","types":["administrative_area_level_1","political"]},{"short_name":"US","types":["country","political"],"long_name":"United States"},{"long_name":"13152","types":["postal_code"],"short_name":"13152"},{"long_name":"24","short_name":"24","types":["street_number"]},{"short_name":"Jordan St","long_name":"Jordan Street","types":["route"]},{"short_name":"Skaneateles","types":["locality","political"],"long_name":"Skaneateles"},{"long_name":"Skaneateles","short_name":"Skaneateles","types":["administrative_area_level_3","political"]},{"long_name":"Onondaga County","types":["administrative_area_level_2","political"],"short_name":"Onondaga County"},{"short_name":"NY","types":["administrative_area_level_1","political"],"long_name":"New York"},{"long_name":"United States","short_name":"US","types":["country","political"]},{"long_name":"13152","types":["postal_code"],"short_name":"13152"},{"short_name":"1110","long_name":"1110","types":["postal_code_suffix"]},{"types":["latitude"],"long_name":42.947011,"short_name":42.947011},{"types":["longitude"],"long_name":-76.42910169999999,"short_name":-76.42910169999999}]}</v>
      </c>
      <c r="J281" s="8" t="str">
        <f t="shared" si="3"/>
        <v>[{"long_name":"Skaneateles","short_name":"Skaneateles","types":["locality","political"]},{"long_name":"Skaneateles","types":["administrative_area_level_3","political"],"short_name":"Skaneateles"},{"short_name":"Onondaga County","types":["administrative_area_level_2","political"],"long_name":"Onondaga County"},{"long_name":"New York","short_name":"NY","types":["administrative_area_level_1","political"]},{"short_name":"US","types":["country","political"],"long_name":"United States"},{"long_name":"13152","types":["postal_code"],"short_name":"13152"},{"long_name":"24","short_name":"24","types":["street_number"]},{"short_name":"Jordan St","long_name":"Jordan Street","types":["route"]},{"short_name":"Skaneateles","types":["locality","political"],"long_name":"Skaneateles"},{"long_name":"Skaneateles","short_name":"Skaneateles","types":["administrative_area_level_3","political"]},{"long_name":"Onondaga County","types":["administrative_area_level_2","political"],"short_name":"Onondaga County"},{"short_name":"NY","types":["administrative_area_level_1","political"],"long_name":"New York"},{"long_name":"United States","short_name":"US","types":["country","political"]},{"long_name":"13152","types":["postal_code"],"short_name":"13152"},{"short_name":"1110","long_name":"1110","types":["postal_code_suffix"]},{"types":["latitude"],"long_name":42.947011,"short_name":42.947011},{"types":["longitude"],"long_name":-76.42910169999999,"short_name":-76.42910169999999},{"types":["debug_info","cache_load_result"],"long_name":"hit","short_name":"hit"}]</v>
      </c>
      <c r="K281" s="9" t="b">
        <f t="shared" si="363"/>
        <v>0</v>
      </c>
      <c r="L281" s="8" t="b">
        <f t="shared" si="4"/>
        <v>1</v>
      </c>
      <c r="M281" s="10" t="b">
        <v>1</v>
      </c>
      <c r="N281" s="10">
        <v>42.947011</v>
      </c>
      <c r="O281" s="10">
        <v>-76.4291017</v>
      </c>
      <c r="P281" s="10" t="s">
        <v>1083</v>
      </c>
      <c r="Q281" s="10" t="s">
        <v>519</v>
      </c>
      <c r="R281" s="10">
        <v>13152.0</v>
      </c>
      <c r="S281" s="10" t="s">
        <v>47</v>
      </c>
      <c r="T281" s="19">
        <v>2702.0</v>
      </c>
      <c r="U281" s="32">
        <v>1.6790856481481482</v>
      </c>
      <c r="V281" s="18">
        <v>2222.11</v>
      </c>
      <c r="W281" s="4"/>
      <c r="X281" s="4" t="str">
        <f t="shared" si="364"/>
        <v>N/A</v>
      </c>
      <c r="Y281" s="4"/>
      <c r="Z281" s="4" t="s">
        <v>38</v>
      </c>
      <c r="AA281" s="4"/>
      <c r="AB281" s="14" t="s">
        <v>1084</v>
      </c>
      <c r="AE281" s="4"/>
      <c r="AF281" s="14" t="s">
        <v>1085</v>
      </c>
    </row>
    <row r="282" hidden="1">
      <c r="A282" s="34" t="s">
        <v>930</v>
      </c>
      <c r="B282" s="4" t="s">
        <v>1086</v>
      </c>
      <c r="C282" s="4" t="s">
        <v>697</v>
      </c>
      <c r="D282" s="4"/>
      <c r="E282" s="3" t="s">
        <v>43</v>
      </c>
      <c r="F282" s="4" t="s">
        <v>1086</v>
      </c>
      <c r="G282" s="6" t="str">
        <f t="shared" si="1"/>
        <v>Link</v>
      </c>
      <c r="H282" s="3" t="s">
        <v>187</v>
      </c>
      <c r="I282" s="8" t="str">
        <f t="shared" si="2"/>
        <v>{"address_components":[{"long_name":"Corning","short_name":"Corning","types":["locality","political"]},{"long_name":"Steuben County","short_name":"Steuben County","types":["administrative_area_level_2","political"]},{"long_name":"New York","types":["administrative_area_level_1","political"],"short_name":"NY"},{"long_name":"United States","short_name":"US","types":["country","political"]},{"short_name":"14830","long_name":"14830","types":["postal_code"]},{"long_name":"114","types":["street_number"],"short_name":"114"},{"types":["route"],"short_name":"Pine St","long_name":"Pine Street"},{"types":["locality","political"],"long_name":"Corning","short_name":"Corning"},{"long_name":"Steuben County","short_name":"Steuben County","types":["administrative_area_level_2","political"]},{"short_name":"NY","types":["administrative_area_level_1","political"],"long_name":"New York"},{"long_name":"United States","short_name":"US","types":["country","political"]},{"short_name":"14830","long_name":"14830","types":["postal_code"]},{"short_name":"2654","long_name":"2654","types":["postal_code_suffix"]},{"types":["latitude"],"long_name":42.1428521,"short_name":42.1428521},{"types":["longitude"],"long_name":-77.05469029999999,"short_name":-77.05469029999999}]}</v>
      </c>
      <c r="J282" s="8" t="str">
        <f t="shared" si="3"/>
        <v>[{"long_name":"Corning","short_name":"Corning","types":["locality","political"]},{"long_name":"Steuben County","short_name":"Steuben County","types":["administrative_area_level_2","political"]},{"long_name":"New York","types":["administrative_area_level_1","political"],"short_name":"NY"},{"long_name":"United States","short_name":"US","types":["country","political"]},{"short_name":"14830","long_name":"14830","types":["postal_code"]},{"long_name":"114","types":["street_number"],"short_name":"114"},{"types":["route"],"short_name":"Pine St","long_name":"Pine Street"},{"types":["locality","political"],"long_name":"Corning","short_name":"Corning"},{"long_name":"Steuben County","short_name":"Steuben County","types":["administrative_area_level_2","political"]},{"short_name":"NY","types":["administrative_area_level_1","political"],"long_name":"New York"},{"long_name":"United States","short_name":"US","types":["country","political"]},{"short_name":"14830","long_name":"14830","types":["postal_code"]},{"short_name":"2654","long_name":"2654","types":["postal_code_suffix"]},{"types":["latitude"],"long_name":42.1428521,"short_name":42.1428521},{"types":["longitude"],"long_name":-77.05469029999999,"short_name":-77.05469029999999},{"types":["debug_info","cache_load_result"],"long_name":"hit","short_name":"hit"}]</v>
      </c>
      <c r="K282" s="9" t="b">
        <f t="shared" si="363"/>
        <v>0</v>
      </c>
      <c r="L282" s="8" t="b">
        <f t="shared" si="4"/>
        <v>1</v>
      </c>
      <c r="M282" s="10" t="b">
        <v>1</v>
      </c>
      <c r="N282" s="10">
        <v>42.1428521</v>
      </c>
      <c r="O282" s="10">
        <v>-77.0546903</v>
      </c>
      <c r="P282" s="10" t="s">
        <v>1087</v>
      </c>
      <c r="Q282" s="10" t="s">
        <v>519</v>
      </c>
      <c r="R282" s="10">
        <v>14830.0</v>
      </c>
      <c r="S282" s="10" t="s">
        <v>47</v>
      </c>
      <c r="T282" s="19">
        <v>2672.6</v>
      </c>
      <c r="U282" s="32">
        <v>1.6534953703703703</v>
      </c>
      <c r="V282" s="18">
        <v>2216.81</v>
      </c>
      <c r="W282" s="4"/>
      <c r="X282" s="4" t="str">
        <f t="shared" si="364"/>
        <v>N/A</v>
      </c>
      <c r="Y282" s="4"/>
      <c r="Z282" s="4" t="s">
        <v>38</v>
      </c>
      <c r="AA282" s="4"/>
      <c r="AB282" s="4" t="s">
        <v>1088</v>
      </c>
      <c r="AE282" s="4"/>
      <c r="AF282" s="14" t="s">
        <v>1089</v>
      </c>
    </row>
    <row r="283" hidden="1">
      <c r="A283" s="34" t="s">
        <v>930</v>
      </c>
      <c r="B283" s="4" t="s">
        <v>1090</v>
      </c>
      <c r="C283" s="4" t="s">
        <v>697</v>
      </c>
      <c r="D283" s="4"/>
      <c r="E283" s="3" t="s">
        <v>43</v>
      </c>
      <c r="F283" s="4" t="s">
        <v>1090</v>
      </c>
      <c r="G283" s="6" t="str">
        <f t="shared" si="1"/>
        <v>Link</v>
      </c>
      <c r="H283" s="3" t="s">
        <v>187</v>
      </c>
      <c r="I283" s="8" t="str">
        <f t="shared" si="2"/>
        <v>{"address_components":[{"long_name":"Boone","short_name":"Boone","types":["locality","political"]},{"long_name":"Watauga County","short_name":"Watauga County","types":["administrative_area_level_2","political"]},{"types":["administrative_area_level_1","political"],"long_name":"North Carolina","short_name":"NC"},{"types":["country","political"],"long_name":"United States","short_name":"US"},{"long_name":"116","short_name":"116","types":["street_number"]},{"short_name":"Grand Blvd","types":["route"],"long_name":"Grand Boulevard"},{"short_name":"Boone","types":["locality","political"],"long_name":"Boone"},{"long_name":"Watauga County","short_name":"Watauga County","types":["administrative_area_level_2","political"]},{"long_name":"North Carolina","types":["administrative_area_level_1","political"],"short_name":"NC"},{"short_name":"US","types":["country","political"],"long_name":"United States"},{"types":["postal_code"],"long_name":"28607","short_name":"28607"},{"types":["latitude"],"long_name":36.2181951,"short_name":36.2181951},{"types":["longitude"],"long_name":-81.6830378,"short_name":-81.6830378}]}</v>
      </c>
      <c r="J283" s="8" t="str">
        <f t="shared" si="3"/>
        <v>[{"long_name":"Boone","short_name":"Boone","types":["locality","political"]},{"long_name":"Watauga County","short_name":"Watauga County","types":["administrative_area_level_2","political"]},{"types":["administrative_area_level_1","political"],"long_name":"North Carolina","short_name":"NC"},{"types":["country","political"],"long_name":"United States","short_name":"US"},{"long_name":"116","short_name":"116","types":["street_number"]},{"short_name":"Grand Blvd","types":["route"],"long_name":"Grand Boulevard"},{"short_name":"Boone","types":["locality","political"],"long_name":"Boone"},{"long_name":"Watauga County","short_name":"Watauga County","types":["administrative_area_level_2","political"]},{"long_name":"North Carolina","types":["administrative_area_level_1","political"],"short_name":"NC"},{"short_name":"US","types":["country","political"],"long_name":"United States"},{"types":["postal_code"],"long_name":"28607","short_name":"28607"},{"types":["latitude"],"long_name":36.2181951,"short_name":36.2181951},{"types":["longitude"],"long_name":-81.6830378,"short_name":-81.6830378},{"types":["debug_info","cache_load_result"],"long_name":"hit","short_name":"hit"}]</v>
      </c>
      <c r="K283" s="9" t="b">
        <f t="shared" si="363"/>
        <v>0</v>
      </c>
      <c r="L283" s="8" t="b">
        <f t="shared" si="4"/>
        <v>1</v>
      </c>
      <c r="M283" s="10" t="b">
        <v>1</v>
      </c>
      <c r="N283" s="10">
        <v>36.216795</v>
      </c>
      <c r="O283" s="10">
        <v>-81.6745517</v>
      </c>
      <c r="P283" s="10" t="s">
        <v>1091</v>
      </c>
      <c r="Q283" s="10" t="s">
        <v>1092</v>
      </c>
      <c r="R283" s="10">
        <v>28607.0</v>
      </c>
      <c r="S283" s="10" t="s">
        <v>47</v>
      </c>
      <c r="T283" s="19">
        <v>2672.1</v>
      </c>
      <c r="U283" s="32">
        <v>1.6971064814814816</v>
      </c>
      <c r="V283" s="18">
        <v>2204.32</v>
      </c>
      <c r="W283" s="4"/>
      <c r="X283" s="4" t="str">
        <f t="shared" si="364"/>
        <v>N/A</v>
      </c>
      <c r="Y283" s="4"/>
      <c r="Z283" s="4" t="s">
        <v>38</v>
      </c>
      <c r="AA283" s="4"/>
      <c r="AB283" s="4" t="s">
        <v>1093</v>
      </c>
      <c r="AE283" s="4"/>
      <c r="AF283" s="14" t="s">
        <v>1094</v>
      </c>
    </row>
    <row r="284" hidden="1">
      <c r="A284" s="34" t="s">
        <v>930</v>
      </c>
      <c r="B284" s="4" t="s">
        <v>1095</v>
      </c>
      <c r="C284" s="4" t="s">
        <v>697</v>
      </c>
      <c r="D284" s="4"/>
      <c r="E284" s="3" t="s">
        <v>43</v>
      </c>
      <c r="F284" s="4" t="s">
        <v>1095</v>
      </c>
      <c r="G284" s="6" t="str">
        <f t="shared" si="1"/>
        <v>Link</v>
      </c>
      <c r="H284" s="3" t="s">
        <v>187</v>
      </c>
      <c r="I284" s="8" t="str">
        <f t="shared" si="2"/>
        <v>{"address_components":[{"long_name":"Put-in-Bay","types":["locality","political"],"short_name":"Put-In-Bay"},{"short_name":"Put-in-Bay Township","types":["administrative_area_level_3","political"],"long_name":"Put-in-Bay Township"},{"types":["administrative_area_level_2","political"],"short_name":"Ottawa County","long_name":"Ottawa County"},{"short_name":"OH","types":["administrative_area_level_1","political"],"long_name":"Ohio"},{"long_name":"United States","short_name":"US","types":["country","political"]},{"long_name":"43456","short_name":"43456","types":["postal_code"]},{"long_name":"430","types":["street_number"],"short_name":"430"},{"types":["route"],"short_name":"Catawba Ave","long_name":"Catawba Avenue"},{"short_name":"Put-In-Bay","types":["locality","political"],"long_name":"Put-in-Bay"},{"short_name":"Put-in-Bay Township","types":["administrative_area_level_3","political"],"long_name":"Put-in-Bay Township"},{"long_name":"Ottawa County","types":["administrative_area_level_2","political"],"short_name":"Ottawa County"},{"long_name":"Ohio","short_name":"OH","types":["administrative_area_level_1","political"]},{"short_name":"US","types":["country","political"],"long_name":"United States"},{"short_name":"43456","types":["postal_code"],"long_name":"43456"},{"types":["latitude"],"long_name":41.6521064,"short_name":41.6521064},{"types":["longitude"],"long_name":-82.8200081,"short_name":-82.8200081}]}</v>
      </c>
      <c r="J284" s="8" t="str">
        <f t="shared" si="3"/>
        <v>[{"long_name":"Put-in-Bay","types":["locality","political"],"short_name":"Put-In-Bay"},{"short_name":"Put-in-Bay Township","types":["administrative_area_level_3","political"],"long_name":"Put-in-Bay Township"},{"types":["administrative_area_level_2","political"],"short_name":"Ottawa County","long_name":"Ottawa County"},{"short_name":"OH","types":["administrative_area_level_1","political"],"long_name":"Ohio"},{"long_name":"United States","short_name":"US","types":["country","political"]},{"long_name":"43456","short_name":"43456","types":["postal_code"]},{"long_name":"430","types":["street_number"],"short_name":"430"},{"types":["route"],"short_name":"Catawba Ave","long_name":"Catawba Avenue"},{"short_name":"Put-In-Bay","types":["locality","political"],"long_name":"Put-in-Bay"},{"short_name":"Put-in-Bay Township","types":["administrative_area_level_3","political"],"long_name":"Put-in-Bay Township"},{"long_name":"Ottawa County","types":["administrative_area_level_2","political"],"short_name":"Ottawa County"},{"long_name":"Ohio","short_name":"OH","types":["administrative_area_level_1","political"]},{"short_name":"US","types":["country","political"],"long_name":"United States"},{"short_name":"43456","types":["postal_code"],"long_name":"43456"},{"types":["latitude"],"long_name":41.6521064,"short_name":41.6521064},{"types":["longitude"],"long_name":-82.8200081,"short_name":-82.8200081},{"types":["debug_info","cache_load_result"],"long_name":"hit","short_name":"hit"}]</v>
      </c>
      <c r="K284" s="9" t="b">
        <f t="shared" si="363"/>
        <v>0</v>
      </c>
      <c r="L284" s="8" t="b">
        <f t="shared" si="4"/>
        <v>1</v>
      </c>
      <c r="M284" s="10" t="b">
        <v>1</v>
      </c>
      <c r="N284" s="10">
        <v>41.6542158</v>
      </c>
      <c r="O284" s="10">
        <v>-82.8207429</v>
      </c>
      <c r="P284" s="10" t="s">
        <v>1096</v>
      </c>
      <c r="Q284" s="10" t="s">
        <v>746</v>
      </c>
      <c r="R284" s="10">
        <v>43456.0</v>
      </c>
      <c r="S284" s="10" t="s">
        <v>47</v>
      </c>
      <c r="T284" s="19">
        <v>2333.5</v>
      </c>
      <c r="U284" s="32">
        <v>1.472199074074074</v>
      </c>
      <c r="V284" s="18">
        <v>1963.92</v>
      </c>
      <c r="W284" s="4"/>
      <c r="X284" s="4" t="str">
        <f t="shared" si="364"/>
        <v>N/A</v>
      </c>
      <c r="Y284" s="4"/>
      <c r="Z284" s="4" t="s">
        <v>38</v>
      </c>
      <c r="AA284" s="4"/>
      <c r="AB284" s="4" t="s">
        <v>1097</v>
      </c>
      <c r="AE284" s="4"/>
      <c r="AF284" s="14" t="s">
        <v>1098</v>
      </c>
    </row>
    <row r="285" hidden="1">
      <c r="A285" s="34" t="s">
        <v>930</v>
      </c>
      <c r="B285" s="4" t="s">
        <v>1099</v>
      </c>
      <c r="C285" s="4" t="s">
        <v>697</v>
      </c>
      <c r="D285" s="4"/>
      <c r="E285" s="3" t="s">
        <v>43</v>
      </c>
      <c r="F285" s="4" t="s">
        <v>1099</v>
      </c>
      <c r="G285" s="6" t="str">
        <f t="shared" si="1"/>
        <v>Link</v>
      </c>
      <c r="H285" s="3" t="s">
        <v>187</v>
      </c>
      <c r="I285" s="8" t="str">
        <f t="shared" si="2"/>
        <v>{"address_components":[{"short_name":"Marietta","long_name":"Marietta","types":["locality","political"]},{"short_name":"Washington County","long_name":"Washington County","types":["administrative_area_level_2","political"]},{"long_name":"Ohio","short_name":"OH","types":["administrative_area_level_1","political"]},{"long_name":"United States","types":["country","political"],"short_name":"US"},{"short_name":"45750","long_name":"45750","types":["postal_code"]},{"long_name":"117","short_name":"117","types":["street_number"]},{"types":["route"],"long_name":"Putnam Street","short_name":"Putnam St"},{"long_name":"Downtown","short_name":"Downtown","types":["neighborhood","political"]},{"short_name":"Marietta","long_name":"Marietta","types":["locality","political"]},{"long_name":"Washington County","short_name":"Washington County","types":["administrative_area_level_2","political"]},{"types":["administrative_area_level_1","political"],"short_name":"OH","long_name":"Ohio"},{"long_name":"United States","short_name":"US","types":["country","political"]},{"long_name":"45750","types":["postal_code"],"short_name":"45750"},{"types":["latitude"],"long_name":39.41535200000001,"short_name":39.41535200000001},{"types":["longitude"],"long_name":-81.45484359999999,"short_name":-81.45484359999999}]}</v>
      </c>
      <c r="J285" s="8" t="str">
        <f t="shared" si="3"/>
        <v>[{"short_name":"Marietta","long_name":"Marietta","types":["locality","political"]},{"short_name":"Washington County","long_name":"Washington County","types":["administrative_area_level_2","political"]},{"long_name":"Ohio","short_name":"OH","types":["administrative_area_level_1","political"]},{"long_name":"United States","types":["country","political"],"short_name":"US"},{"short_name":"45750","long_name":"45750","types":["postal_code"]},{"long_name":"117","short_name":"117","types":["street_number"]},{"types":["route"],"long_name":"Putnam Street","short_name":"Putnam St"},{"long_name":"Downtown","short_name":"Downtown","types":["neighborhood","political"]},{"short_name":"Marietta","long_name":"Marietta","types":["locality","political"]},{"long_name":"Washington County","short_name":"Washington County","types":["administrative_area_level_2","political"]},{"types":["administrative_area_level_1","political"],"short_name":"OH","long_name":"Ohio"},{"long_name":"United States","short_name":"US","types":["country","political"]},{"long_name":"45750","types":["postal_code"],"short_name":"45750"},{"types":["latitude"],"long_name":39.41535200000001,"short_name":39.41535200000001},{"types":["longitude"],"long_name":-81.45484359999999,"short_name":-81.45484359999999},{"types":["debug_info","cache_load_result"],"long_name":"hit","short_name":"hit"}]</v>
      </c>
      <c r="K285" s="9" t="b">
        <f t="shared" si="363"/>
        <v>0</v>
      </c>
      <c r="L285" s="8" t="b">
        <f t="shared" si="4"/>
        <v>1</v>
      </c>
      <c r="M285" s="10" t="b">
        <v>1</v>
      </c>
      <c r="N285" s="10">
        <v>39.415352</v>
      </c>
      <c r="O285" s="10">
        <v>-81.4548436</v>
      </c>
      <c r="P285" s="10" t="s">
        <v>1100</v>
      </c>
      <c r="Q285" s="10" t="s">
        <v>746</v>
      </c>
      <c r="R285" s="10">
        <v>45750.0</v>
      </c>
      <c r="S285" s="10" t="s">
        <v>47</v>
      </c>
      <c r="T285" s="19">
        <v>2545.3</v>
      </c>
      <c r="U285" s="32">
        <v>1.5583217592592593</v>
      </c>
      <c r="V285" s="18">
        <v>2098.94</v>
      </c>
      <c r="W285" s="4"/>
      <c r="X285" s="4" t="str">
        <f t="shared" si="364"/>
        <v>N/A</v>
      </c>
      <c r="Y285" s="4"/>
      <c r="Z285" s="4" t="s">
        <v>38</v>
      </c>
      <c r="AA285" s="4"/>
      <c r="AB285" s="4" t="s">
        <v>1101</v>
      </c>
      <c r="AE285" s="4"/>
      <c r="AF285" s="14" t="s">
        <v>1102</v>
      </c>
    </row>
    <row r="286" hidden="1">
      <c r="A286" s="34" t="s">
        <v>930</v>
      </c>
      <c r="B286" s="4" t="s">
        <v>1103</v>
      </c>
      <c r="C286" s="4" t="s">
        <v>697</v>
      </c>
      <c r="D286" s="4"/>
      <c r="E286" s="3" t="s">
        <v>43</v>
      </c>
      <c r="F286" s="4" t="s">
        <v>1103</v>
      </c>
      <c r="G286" s="6" t="str">
        <f t="shared" si="1"/>
        <v>Link</v>
      </c>
      <c r="H286" s="3" t="s">
        <v>187</v>
      </c>
      <c r="I286" s="8" t="str">
        <f t="shared" si="2"/>
        <v>{"address_components":[{"short_name":"Davis","types":["locality","political"],"long_name":"Davis"},{"long_name":"Murray County","types":["administrative_area_level_2","political"],"short_name":"Murray County"},{"short_name":"OK","long_name":"Oklahoma","types":["administrative_area_level_1","political"]},{"types":["country","political"],"short_name":"US","long_name":"United States"},{"long_name":"73030","short_name":"73030","types":["postal_code"]},{"short_name":"300","long_name":"300","types":["street_number"]},{"long_name":"East Main Street","short_name":"E Main St","types":["route"]},{"long_name":"Davis","types":["locality","political"],"short_name":"Davis"},{"long_name":"Murray County","short_name":"Murray County","types":["administrative_area_level_2","political"]},{"long_name":"Oklahoma","types":["administrative_area_level_1","political"],"short_name":"OK"},{"long_name":"United States","short_name":"US","types":["country","political"]},{"long_name":"73030","short_name":"73030","types":["postal_code"]},{"types":["latitude"],"long_name":34.5045317,"short_name":34.5045317},{"types":["longitude"],"long_name":-97.1194637,"short_name":-97.1194637}]}</v>
      </c>
      <c r="J286" s="8" t="str">
        <f t="shared" si="3"/>
        <v>[{"short_name":"Davis","types":["locality","political"],"long_name":"Davis"},{"long_name":"Murray County","types":["administrative_area_level_2","political"],"short_name":"Murray County"},{"short_name":"OK","long_name":"Oklahoma","types":["administrative_area_level_1","political"]},{"types":["country","political"],"short_name":"US","long_name":"United States"},{"long_name":"73030","short_name":"73030","types":["postal_code"]},{"short_name":"300","long_name":"300","types":["street_number"]},{"long_name":"East Main Street","short_name":"E Main St","types":["route"]},{"long_name":"Davis","types":["locality","political"],"short_name":"Davis"},{"long_name":"Murray County","short_name":"Murray County","types":["administrative_area_level_2","political"]},{"long_name":"Oklahoma","types":["administrative_area_level_1","political"],"short_name":"OK"},{"long_name":"United States","short_name":"US","types":["country","political"]},{"long_name":"73030","short_name":"73030","types":["postal_code"]},{"types":["latitude"],"long_name":34.5045317,"short_name":34.5045317},{"types":["longitude"],"long_name":-97.1194637,"short_name":-97.1194637},{"types":["debug_info","cache_load_result"],"long_name":"hit","short_name":"hit"}]</v>
      </c>
      <c r="K286" s="9" t="b">
        <f t="shared" si="363"/>
        <v>0</v>
      </c>
      <c r="L286" s="8" t="b">
        <f t="shared" si="4"/>
        <v>1</v>
      </c>
      <c r="M286" s="10" t="b">
        <v>1</v>
      </c>
      <c r="N286" s="10">
        <v>34.5045317</v>
      </c>
      <c r="O286" s="10">
        <v>-97.1194637</v>
      </c>
      <c r="P286" s="10" t="s">
        <v>1104</v>
      </c>
      <c r="Q286" s="10" t="s">
        <v>1105</v>
      </c>
      <c r="R286" s="10">
        <v>73030.0</v>
      </c>
      <c r="S286" s="10" t="s">
        <v>47</v>
      </c>
      <c r="T286" s="19">
        <v>2047.4</v>
      </c>
      <c r="U286" s="32">
        <v>1.259085648148148</v>
      </c>
      <c r="V286" s="18">
        <v>1584.39</v>
      </c>
      <c r="W286" s="4"/>
      <c r="X286" s="4" t="str">
        <f t="shared" si="364"/>
        <v>N/A</v>
      </c>
      <c r="Y286" s="4"/>
      <c r="Z286" s="4" t="s">
        <v>38</v>
      </c>
      <c r="AA286" s="4"/>
      <c r="AB286" s="4" t="s">
        <v>1106</v>
      </c>
      <c r="AE286" s="4"/>
      <c r="AF286" s="14" t="s">
        <v>1107</v>
      </c>
    </row>
    <row r="287" hidden="1">
      <c r="A287" s="34" t="s">
        <v>930</v>
      </c>
      <c r="B287" s="4" t="s">
        <v>1108</v>
      </c>
      <c r="C287" s="4" t="s">
        <v>697</v>
      </c>
      <c r="D287" s="4"/>
      <c r="E287" s="3" t="s">
        <v>43</v>
      </c>
      <c r="F287" s="4" t="s">
        <v>1108</v>
      </c>
      <c r="G287" s="6" t="str">
        <f t="shared" si="1"/>
        <v>Link</v>
      </c>
      <c r="H287" s="3" t="s">
        <v>187</v>
      </c>
      <c r="I287" s="8" t="str">
        <f t="shared" si="2"/>
        <v>{"address_components":[{"long_name":"Astoria","short_name":"Astoria","types":["locality","political"]},{"long_name":"Clatsop County","types":["administrative_area_level_2","political"],"short_name":"Clatsop County"},{"types":["administrative_area_level_1","political"],"long_name":"Oregon","short_name":"OR"},{"short_name":"US","types":["country","political"],"long_name":"United States"},{"types":["postal_code"],"long_name":"97103","short_name":"97103"},{"long_name":"1132","types":["street_number"],"short_name":"1132"},{"long_name":"Exchange Street","types":["route"],"short_name":"Exchange St"},{"long_name":"Astoria","short_name":"Astoria","types":["locality","political"]},{"long_name":"Clatsop County","types":["administrative_area_level_2","political"],"short_name":"Clatsop County"},{"long_name":"Oregon","short_name":"OR","types":["administrative_area_level_1","political"]},{"short_name":"US","long_name":"United States","types":["country","political"]},{"long_name":"97103","short_name":"97103","types":["postal_code"]},{"types":["postal_code_suffix"],"long_name":"4130","short_name":"4130"},{"types":["latitude"],"long_name":46.1878841,"short_name":46.1878841},{"types":["longitude"],"long_name":-123.8312534,"short_name":-123.8312534}]}</v>
      </c>
      <c r="J287" s="8" t="str">
        <f t="shared" si="3"/>
        <v>[{"long_name":"Astoria","short_name":"Astoria","types":["locality","political"]},{"long_name":"Clatsop County","types":["administrative_area_level_2","political"],"short_name":"Clatsop County"},{"types":["administrative_area_level_1","political"],"long_name":"Oregon","short_name":"OR"},{"short_name":"US","types":["country","political"],"long_name":"United States"},{"types":["postal_code"],"long_name":"97103","short_name":"97103"},{"long_name":"1132","types":["street_number"],"short_name":"1132"},{"long_name":"Exchange Street","types":["route"],"short_name":"Exchange St"},{"long_name":"Astoria","short_name":"Astoria","types":["locality","political"]},{"long_name":"Clatsop County","types":["administrative_area_level_2","political"],"short_name":"Clatsop County"},{"long_name":"Oregon","short_name":"OR","types":["administrative_area_level_1","political"]},{"short_name":"US","long_name":"United States","types":["country","political"]},{"long_name":"97103","short_name":"97103","types":["postal_code"]},{"types":["postal_code_suffix"],"long_name":"4130","short_name":"4130"},{"types":["latitude"],"long_name":46.1878841,"short_name":46.1878841},{"types":["longitude"],"long_name":-123.8312534,"short_name":-123.8312534},{"types":["debug_info","cache_load_result"],"long_name":"hit","short_name":"hit"}]</v>
      </c>
      <c r="K287" s="9" t="b">
        <f t="shared" si="363"/>
        <v>0</v>
      </c>
      <c r="L287" s="8" t="b">
        <f t="shared" si="4"/>
        <v>1</v>
      </c>
      <c r="M287" s="10" t="b">
        <v>1</v>
      </c>
      <c r="N287" s="10">
        <v>46.1878841</v>
      </c>
      <c r="O287" s="10">
        <v>-123.8312534</v>
      </c>
      <c r="P287" s="10" t="s">
        <v>1109</v>
      </c>
      <c r="Q287" s="10" t="s">
        <v>460</v>
      </c>
      <c r="R287" s="10">
        <v>97103.0</v>
      </c>
      <c r="S287" s="10" t="s">
        <v>47</v>
      </c>
      <c r="T287" s="19">
        <v>181.7</v>
      </c>
      <c r="U287" s="32">
        <v>0.13474537037037038</v>
      </c>
      <c r="V287" s="18">
        <v>121.06</v>
      </c>
      <c r="W287" s="4"/>
      <c r="X287" s="4" t="str">
        <f t="shared" si="364"/>
        <v>N/A</v>
      </c>
      <c r="Y287" s="4"/>
      <c r="Z287" s="4" t="s">
        <v>38</v>
      </c>
      <c r="AA287" s="4"/>
      <c r="AB287" s="4" t="s">
        <v>1110</v>
      </c>
      <c r="AE287" s="4"/>
      <c r="AF287" s="14" t="s">
        <v>1111</v>
      </c>
    </row>
    <row r="288" hidden="1">
      <c r="A288" s="34" t="s">
        <v>930</v>
      </c>
      <c r="B288" s="4" t="s">
        <v>1112</v>
      </c>
      <c r="C288" s="4" t="s">
        <v>697</v>
      </c>
      <c r="D288" s="4"/>
      <c r="E288" s="3" t="s">
        <v>43</v>
      </c>
      <c r="F288" s="4" t="s">
        <v>1112</v>
      </c>
      <c r="G288" s="6" t="str">
        <f t="shared" si="1"/>
        <v>Link</v>
      </c>
      <c r="H288" s="3" t="s">
        <v>187</v>
      </c>
      <c r="I288" s="8" t="str">
        <f t="shared" si="2"/>
        <v>{"address_components":[{"types":["locality","political"],"short_name":"Cottage Grove","long_name":"Cottage Grove"},{"types":["administrative_area_level_2","political"],"long_name":"Lane County","short_name":"Lane County"},{"types":["administrative_area_level_1","political"],"short_name":"OR","long_name":"Oregon"},{"types":["country","political"],"long_name":"United States","short_name":"US"},{"long_name":"97424","short_name":"97424","types":["postal_code"]},{"long_name":"836","short_name":"836","types":["street_number"]},{"short_name":"E Main St","long_name":"East Main Street","types":["route"]},{"types":["locality","political"],"long_name":"Cottage Grove","short_name":"Cottage Grove"},{"long_name":"Lane County","short_name":"Lane County","types":["administrative_area_level_2","political"]},{"long_name":"Oregon","types":["administrative_area_level_1","political"],"short_name":"OR"},{"short_name":"US","long_name":"United States","types":["country","political"]},{"short_name":"97424","long_name":"97424","types":["postal_code"]},{"long_name":"1640","types":["postal_code_suffix"],"short_name":"1640"},{"types":["latitude"],"long_name":43.7972473,"short_name":43.7972473},{"types":["longitude"],"long_name":-123.0590635,"short_name":-123.0590635}]}</v>
      </c>
      <c r="J288" s="8" t="str">
        <f t="shared" si="3"/>
        <v>[{"types":["locality","political"],"short_name":"Cottage Grove","long_name":"Cottage Grove"},{"types":["administrative_area_level_2","political"],"long_name":"Lane County","short_name":"Lane County"},{"types":["administrative_area_level_1","political"],"short_name":"OR","long_name":"Oregon"},{"types":["country","political"],"long_name":"United States","short_name":"US"},{"long_name":"97424","short_name":"97424","types":["postal_code"]},{"long_name":"836","short_name":"836","types":["street_number"]},{"short_name":"E Main St","long_name":"East Main Street","types":["route"]},{"types":["locality","political"],"long_name":"Cottage Grove","short_name":"Cottage Grove"},{"long_name":"Lane County","short_name":"Lane County","types":["administrative_area_level_2","political"]},{"long_name":"Oregon","types":["administrative_area_level_1","political"],"short_name":"OR"},{"short_name":"US","long_name":"United States","types":["country","political"]},{"short_name":"97424","long_name":"97424","types":["postal_code"]},{"long_name":"1640","types":["postal_code_suffix"],"short_name":"1640"},{"types":["latitude"],"long_name":43.7972473,"short_name":43.7972473},{"types":["longitude"],"long_name":-123.0590635,"short_name":-123.0590635},{"types":["debug_info","cache_load_result"],"long_name":"hit","short_name":"hit"}]</v>
      </c>
      <c r="K288" s="9" t="b">
        <f t="shared" si="363"/>
        <v>0</v>
      </c>
      <c r="L288" s="8" t="b">
        <f t="shared" si="4"/>
        <v>1</v>
      </c>
      <c r="M288" s="10" t="b">
        <v>1</v>
      </c>
      <c r="N288" s="10">
        <v>43.797623</v>
      </c>
      <c r="O288" s="10">
        <v>-123.0595246</v>
      </c>
      <c r="P288" s="10" t="s">
        <v>1113</v>
      </c>
      <c r="Q288" s="10" t="s">
        <v>460</v>
      </c>
      <c r="R288" s="10">
        <v>97424.0</v>
      </c>
      <c r="S288" s="10" t="s">
        <v>47</v>
      </c>
      <c r="T288" s="19">
        <v>301.3</v>
      </c>
      <c r="U288" s="32">
        <v>0.2045486111111111</v>
      </c>
      <c r="V288" s="18">
        <v>265.97</v>
      </c>
      <c r="W288" s="4"/>
      <c r="X288" s="4" t="str">
        <f t="shared" si="364"/>
        <v>N/A</v>
      </c>
      <c r="Y288" s="4"/>
      <c r="Z288" s="4" t="s">
        <v>38</v>
      </c>
      <c r="AA288" s="4"/>
      <c r="AB288" s="4" t="s">
        <v>1114</v>
      </c>
      <c r="AE288" s="4"/>
      <c r="AF288" s="14" t="s">
        <v>1115</v>
      </c>
    </row>
    <row r="289" hidden="1">
      <c r="A289" s="34" t="s">
        <v>930</v>
      </c>
      <c r="B289" s="4" t="s">
        <v>1116</v>
      </c>
      <c r="C289" s="4" t="s">
        <v>697</v>
      </c>
      <c r="D289" s="4"/>
      <c r="E289" s="3" t="s">
        <v>43</v>
      </c>
      <c r="F289" s="4" t="s">
        <v>1116</v>
      </c>
      <c r="G289" s="6" t="str">
        <f t="shared" si="1"/>
        <v>Link</v>
      </c>
      <c r="H289" s="3" t="s">
        <v>187</v>
      </c>
      <c r="I289" s="8" t="str">
        <f t="shared" si="2"/>
        <v>{"address_components":[{"types":["locality","political"],"short_name":"Jim Thorpe","long_name":"Jim Thorpe"},{"short_name":"Carbon County","types":["administrative_area_level_2","political"],"long_name":"Carbon County"},{"types":["administrative_area_level_1","political"],"long_name":"Pennsylvania","short_name":"PA"},{"long_name":"United States","short_name":"US","types":["country","political"]},{"short_name":"607","types":["street_number"],"long_name":"607"},{"long_name":"North Street","types":["route"],"short_name":"North St"},{"short_name":"Jim Thorpe","types":["locality","political"],"long_name":"Jim Thorpe"},{"long_name":"Carbon County","types":["administrative_area_level_2","political"],"short_name":"Carbon County"},{"long_name":"Pennsylvania","types":["administrative_area_level_1","political"],"short_name":"PA"},{"long_name":"United States","short_name":"US","types":["country","political"]},{"long_name":"18229","types":["postal_code"],"short_name":"18229"},{"long_name":"2122","short_name":"2122","types":["postal_code_suffix"]},{"types":["latitude"],"long_name":40.8759235,"short_name":40.8759235},{"types":["longitude"],"long_name":-75.7324127,"short_name":-75.7324127}]}</v>
      </c>
      <c r="J289" s="8" t="str">
        <f t="shared" si="3"/>
        <v>[{"types":["locality","political"],"short_name":"Jim Thorpe","long_name":"Jim Thorpe"},{"short_name":"Carbon County","types":["administrative_area_level_2","political"],"long_name":"Carbon County"},{"types":["administrative_area_level_1","political"],"long_name":"Pennsylvania","short_name":"PA"},{"long_name":"United States","short_name":"US","types":["country","political"]},{"short_name":"607","types":["street_number"],"long_name":"607"},{"long_name":"North Street","types":["route"],"short_name":"North St"},{"short_name":"Jim Thorpe","types":["locality","political"],"long_name":"Jim Thorpe"},{"long_name":"Carbon County","types":["administrative_area_level_2","political"],"short_name":"Carbon County"},{"long_name":"Pennsylvania","types":["administrative_area_level_1","political"],"short_name":"PA"},{"long_name":"United States","short_name":"US","types":["country","political"]},{"long_name":"18229","types":["postal_code"],"short_name":"18229"},{"long_name":"2122","short_name":"2122","types":["postal_code_suffix"]},{"types":["latitude"],"long_name":40.8759235,"short_name":40.8759235},{"types":["longitude"],"long_name":-75.7324127,"short_name":-75.7324127},{"types":["debug_info","cache_load_result"],"long_name":"hit","short_name":"hit"}]</v>
      </c>
      <c r="K289" s="9" t="b">
        <f t="shared" si="363"/>
        <v>0</v>
      </c>
      <c r="L289" s="8" t="b">
        <f t="shared" si="4"/>
        <v>1</v>
      </c>
      <c r="M289" s="10" t="b">
        <v>1</v>
      </c>
      <c r="N289" s="10">
        <v>40.8759235</v>
      </c>
      <c r="O289" s="10">
        <v>-75.7324127</v>
      </c>
      <c r="P289" s="10" t="s">
        <v>1117</v>
      </c>
      <c r="Q289" s="10" t="s">
        <v>46</v>
      </c>
      <c r="R289" s="10">
        <v>18229.0</v>
      </c>
      <c r="S289" s="10" t="s">
        <v>47</v>
      </c>
      <c r="T289" s="19">
        <v>2753.4</v>
      </c>
      <c r="U289" s="32">
        <v>1.694988425925926</v>
      </c>
      <c r="V289" s="18">
        <v>2317.15</v>
      </c>
      <c r="W289" s="4"/>
      <c r="X289" s="4" t="str">
        <f t="shared" si="364"/>
        <v>N/A</v>
      </c>
      <c r="Y289" s="4"/>
      <c r="Z289" s="4" t="s">
        <v>38</v>
      </c>
      <c r="AA289" s="4"/>
      <c r="AB289" s="4" t="s">
        <v>1118</v>
      </c>
      <c r="AE289" s="4"/>
      <c r="AF289" s="14" t="s">
        <v>1119</v>
      </c>
    </row>
    <row r="290" hidden="1">
      <c r="A290" s="34" t="s">
        <v>930</v>
      </c>
      <c r="B290" s="4" t="s">
        <v>1120</v>
      </c>
      <c r="C290" s="4" t="s">
        <v>697</v>
      </c>
      <c r="D290" s="4"/>
      <c r="E290" s="3" t="s">
        <v>43</v>
      </c>
      <c r="F290" s="4" t="s">
        <v>1120</v>
      </c>
      <c r="G290" s="6" t="str">
        <f t="shared" si="1"/>
        <v>Link</v>
      </c>
      <c r="H290" s="3" t="s">
        <v>187</v>
      </c>
      <c r="I290" s="8" t="str">
        <f t="shared" si="2"/>
        <v>{"address_components":[{"long_name":"Lead","short_name":"Lead","types":["locality","political"]},{"short_name":"South Lawrence","types":["administrative_area_level_3","political"],"long_name":"South Lawrence"},{"types":["administrative_area_level_2","political"],"long_name":"Lawrence County","short_name":"Lawrence County"},{"long_name":"South Dakota","short_name":"SD","types":["administrative_area_level_1","political"]},{"long_name":"United States","short_name":"US","types":["country","political"]},{"short_name":"201","types":["street_number"],"long_name":"201"},{"long_name":"U.S. 85","types":["route"],"short_name":"US-85"},{"long_name":"Lead","short_name":"Lead","types":["locality","political"]},{"types":["administrative_area_level_2","political"],"long_name":"Lawrence County","short_name":"Lawrence County"},{"types":["administrative_area_level_1","political"],"short_name":"SD","long_name":"South Dakota"},{"long_name":"United States","short_name":"US","types":["country","political"]},{"long_name":"57754","short_name":"57754","types":["postal_code"]},{"short_name":"1362","types":["postal_code_suffix"],"long_name":"1362"},{"types":["latitude"],"long_name":44.3522065,"short_name":44.3522065},{"types":["longitude"],"long_name":-103.7651984,"short_name":-103.7651984}]}</v>
      </c>
      <c r="J290" s="8" t="str">
        <f t="shared" si="3"/>
        <v>[{"long_name":"Lead","short_name":"Lead","types":["locality","political"]},{"short_name":"South Lawrence","types":["administrative_area_level_3","political"],"long_name":"South Lawrence"},{"types":["administrative_area_level_2","political"],"long_name":"Lawrence County","short_name":"Lawrence County"},{"long_name":"South Dakota","short_name":"SD","types":["administrative_area_level_1","political"]},{"long_name":"United States","short_name":"US","types":["country","political"]},{"short_name":"201","types":["street_number"],"long_name":"201"},{"long_name":"U.S. 85","types":["route"],"short_name":"US-85"},{"long_name":"Lead","short_name":"Lead","types":["locality","political"]},{"types":["administrative_area_level_2","political"],"long_name":"Lawrence County","short_name":"Lawrence County"},{"types":["administrative_area_level_1","political"],"short_name":"SD","long_name":"South Dakota"},{"long_name":"United States","short_name":"US","types":["country","political"]},{"long_name":"57754","short_name":"57754","types":["postal_code"]},{"short_name":"1362","types":["postal_code_suffix"],"long_name":"1362"},{"types":["latitude"],"long_name":44.3522065,"short_name":44.3522065},{"types":["longitude"],"long_name":-103.7651984,"short_name":-103.7651984},{"types":["debug_info","cache_load_result"],"long_name":"hit","short_name":"hit"}]</v>
      </c>
      <c r="K290" s="9" t="b">
        <f t="shared" si="363"/>
        <v>0</v>
      </c>
      <c r="L290" s="8" t="b">
        <f t="shared" si="4"/>
        <v>1</v>
      </c>
      <c r="M290" s="10" t="b">
        <v>1</v>
      </c>
      <c r="N290" s="10">
        <v>44.3522065</v>
      </c>
      <c r="O290" s="10">
        <v>-103.7651984</v>
      </c>
      <c r="P290" s="10" t="s">
        <v>1121</v>
      </c>
      <c r="Q290" s="10" t="s">
        <v>1122</v>
      </c>
      <c r="R290" s="10">
        <v>57754.0</v>
      </c>
      <c r="S290" s="10" t="s">
        <v>47</v>
      </c>
      <c r="T290" s="19">
        <v>1110.4</v>
      </c>
      <c r="U290" s="32">
        <v>0.7134490740740741</v>
      </c>
      <c r="V290" s="18">
        <v>917.45</v>
      </c>
      <c r="W290" s="4"/>
      <c r="X290" s="4" t="str">
        <f t="shared" si="364"/>
        <v>N/A</v>
      </c>
      <c r="Y290" s="4"/>
      <c r="Z290" s="4" t="s">
        <v>38</v>
      </c>
      <c r="AA290" s="4"/>
      <c r="AB290" s="4" t="s">
        <v>1123</v>
      </c>
      <c r="AE290" s="4"/>
      <c r="AF290" s="14" t="s">
        <v>1124</v>
      </c>
    </row>
    <row r="291" hidden="1">
      <c r="A291" s="34" t="s">
        <v>930</v>
      </c>
      <c r="B291" s="4" t="s">
        <v>1125</v>
      </c>
      <c r="C291" s="4" t="s">
        <v>697</v>
      </c>
      <c r="D291" s="4"/>
      <c r="E291" s="3" t="s">
        <v>43</v>
      </c>
      <c r="F291" s="4" t="s">
        <v>1125</v>
      </c>
      <c r="G291" s="6" t="str">
        <f t="shared" si="1"/>
        <v>Link</v>
      </c>
      <c r="H291" s="3" t="s">
        <v>187</v>
      </c>
      <c r="I291" s="8" t="str">
        <f t="shared" si="2"/>
        <v>{"address_components":[{"long_name":"Springdale","types":["locality","political"],"short_name":"Springdale"},{"short_name":"Washington County","types":["administrative_area_level_2","political"],"long_name":"Washington County"},{"short_name":"UT","types":["administrative_area_level_1","political"],"long_name":"Utah"},{"types":["country","political"],"short_name":"US","long_name":"United States"},{"long_name":"865","types":["street_number"],"short_name":"865"},{"short_name":"Zion Park Blvd","long_name":"Zion Park Boulevard","types":["route"]},{"long_name":"Springdale","short_name":"Springdale","types":["locality","political"]},{"types":["administrative_area_level_2","political"],"short_name":"Washington County","long_name":"Washington County"},{"short_name":"UT","long_name":"Utah","types":["administrative_area_level_1","political"]},{"types":["country","political"],"short_name":"US","long_name":"United States"},{"long_name":"84767","short_name":"84767","types":["postal_code"]},{"types":["latitude"],"long_name":37.1888713,"short_name":37.1888713},{"types":["longitude"],"long_name":-112.9985515,"short_name":-112.9985515}]}</v>
      </c>
      <c r="J291" s="8" t="str">
        <f t="shared" si="3"/>
        <v>[{"long_name":"Springdale","types":["locality","political"],"short_name":"Springdale"},{"short_name":"Washington County","types":["administrative_area_level_2","political"],"long_name":"Washington County"},{"short_name":"UT","types":["administrative_area_level_1","political"],"long_name":"Utah"},{"types":["country","political"],"short_name":"US","long_name":"United States"},{"long_name":"865","types":["street_number"],"short_name":"865"},{"short_name":"Zion Park Blvd","long_name":"Zion Park Boulevard","types":["route"]},{"long_name":"Springdale","short_name":"Springdale","types":["locality","political"]},{"types":["administrative_area_level_2","political"],"short_name":"Washington County","long_name":"Washington County"},{"short_name":"UT","long_name":"Utah","types":["administrative_area_level_1","political"]},{"types":["country","political"],"short_name":"US","long_name":"United States"},{"long_name":"84767","short_name":"84767","types":["postal_code"]},{"types":["latitude"],"long_name":37.1888713,"short_name":37.1888713},{"types":["longitude"],"long_name":-112.9985515,"short_name":-112.9985515},{"types":["debug_info","cache_load_result"],"long_name":"hit","short_name":"hit"}]</v>
      </c>
      <c r="K291" s="9" t="b">
        <f t="shared" si="363"/>
        <v>0</v>
      </c>
      <c r="L291" s="8" t="b">
        <f t="shared" si="4"/>
        <v>1</v>
      </c>
      <c r="M291" s="10" t="b">
        <v>1</v>
      </c>
      <c r="N291" s="10">
        <v>37.1888713</v>
      </c>
      <c r="O291" s="10">
        <v>-112.9985515</v>
      </c>
      <c r="P291" s="10" t="s">
        <v>1126</v>
      </c>
      <c r="Q291" s="10" t="s">
        <v>865</v>
      </c>
      <c r="R291" s="10">
        <v>84767.0</v>
      </c>
      <c r="S291" s="10" t="s">
        <v>47</v>
      </c>
      <c r="T291" s="19">
        <v>1136.1</v>
      </c>
      <c r="U291" s="32">
        <v>0.7153125</v>
      </c>
      <c r="V291" s="18">
        <v>862.37</v>
      </c>
      <c r="W291" s="4"/>
      <c r="X291" s="4" t="str">
        <f t="shared" si="364"/>
        <v>N/A</v>
      </c>
      <c r="Y291" s="4"/>
      <c r="Z291" s="4" t="s">
        <v>38</v>
      </c>
      <c r="AA291" s="4"/>
      <c r="AB291" s="4" t="s">
        <v>1127</v>
      </c>
      <c r="AE291" s="4"/>
      <c r="AF291" s="14" t="s">
        <v>1128</v>
      </c>
    </row>
    <row r="292" hidden="1">
      <c r="A292" s="34" t="s">
        <v>930</v>
      </c>
      <c r="B292" s="4" t="s">
        <v>1129</v>
      </c>
      <c r="C292" s="4" t="s">
        <v>697</v>
      </c>
      <c r="D292" s="4"/>
      <c r="E292" s="3" t="s">
        <v>43</v>
      </c>
      <c r="F292" s="4" t="s">
        <v>1129</v>
      </c>
      <c r="G292" s="6" t="str">
        <f t="shared" si="1"/>
        <v>Link</v>
      </c>
      <c r="H292" s="3" t="s">
        <v>187</v>
      </c>
      <c r="I292" s="8" t="str">
        <f t="shared" si="2"/>
        <v>{"address_components":[{"types":["locality","political"],"short_name":"Dorset","long_name":"Dorset"},{"types":["administrative_area_level_2","political"],"short_name":"Bennington County","long_name":"Bennington County"},{"types":["administrative_area_level_1","political"],"short_name":"VT","long_name":"Vermont"},{"long_name":"United States","types":["country","political"],"short_name":"US"},{"long_name":"3370","short_name":"3370","types":["street_number"]},{"short_name":"VT-30","types":["route"],"long_name":"Vermont 30"},{"short_name":"Dorset","long_name":"Dorset","types":["neighborhood","political"]},{"types":["locality","political"],"short_name":"Dorset","long_name":"Dorset"},{"types":["administrative_area_level_2","political"],"short_name":"Bennington County","long_name":"Bennington County"},{"short_name":"VT","long_name":"Vermont","types":["administrative_area_level_1","political"]},{"long_name":"United States","types":["country","political"],"short_name":"US"},{"long_name":"05251","types":["postal_code"],"short_name":"05251"},{"types":["latitude"],"long_name":43.2548074,"short_name":43.2548074},{"types":["longitude"],"long_name":-73.0987801,"short_name":-73.0987801}]}</v>
      </c>
      <c r="J292" s="8" t="str">
        <f t="shared" si="3"/>
        <v>[{"types":["locality","political"],"short_name":"Dorset","long_name":"Dorset"},{"types":["administrative_area_level_2","political"],"short_name":"Bennington County","long_name":"Bennington County"},{"types":["administrative_area_level_1","political"],"short_name":"VT","long_name":"Vermont"},{"long_name":"United States","types":["country","political"],"short_name":"US"},{"long_name":"3370","short_name":"3370","types":["street_number"]},{"short_name":"VT-30","types":["route"],"long_name":"Vermont 30"},{"short_name":"Dorset","long_name":"Dorset","types":["neighborhood","political"]},{"types":["locality","political"],"short_name":"Dorset","long_name":"Dorset"},{"types":["administrative_area_level_2","political"],"short_name":"Bennington County","long_name":"Bennington County"},{"short_name":"VT","long_name":"Vermont","types":["administrative_area_level_1","political"]},{"long_name":"United States","types":["country","political"],"short_name":"US"},{"long_name":"05251","types":["postal_code"],"short_name":"05251"},{"types":["latitude"],"long_name":43.2548074,"short_name":43.2548074},{"types":["longitude"],"long_name":-73.0987801,"short_name":-73.0987801},{"types":["debug_info","cache_load_result"],"long_name":"hit","short_name":"hit"}]</v>
      </c>
      <c r="K292" s="9" t="b">
        <f t="shared" si="363"/>
        <v>0</v>
      </c>
      <c r="L292" s="8" t="b">
        <f t="shared" si="4"/>
        <v>1</v>
      </c>
      <c r="M292" s="10" t="b">
        <v>1</v>
      </c>
      <c r="N292" s="10">
        <v>43.2548074</v>
      </c>
      <c r="O292" s="10">
        <v>-73.0987801</v>
      </c>
      <c r="P292" s="15" t="s">
        <v>1130</v>
      </c>
      <c r="Q292" s="15" t="s">
        <v>791</v>
      </c>
      <c r="R292" s="15">
        <v>5250.0</v>
      </c>
      <c r="S292" s="15" t="s">
        <v>47</v>
      </c>
      <c r="T292" s="16">
        <v>2898.7</v>
      </c>
      <c r="U292" s="17">
        <v>1.8171527777777778</v>
      </c>
      <c r="V292" s="18">
        <v>2365.9</v>
      </c>
      <c r="W292" s="4"/>
      <c r="X292" s="4" t="str">
        <f t="shared" si="364"/>
        <v>N/A</v>
      </c>
      <c r="Y292" s="4"/>
      <c r="Z292" s="4" t="s">
        <v>38</v>
      </c>
      <c r="AA292" s="4"/>
      <c r="AB292" s="4" t="s">
        <v>1131</v>
      </c>
      <c r="AE292" s="4"/>
      <c r="AF292" s="14" t="s">
        <v>1132</v>
      </c>
    </row>
    <row r="293" hidden="1">
      <c r="A293" s="34" t="s">
        <v>930</v>
      </c>
      <c r="B293" s="4" t="s">
        <v>1133</v>
      </c>
      <c r="C293" s="4" t="s">
        <v>697</v>
      </c>
      <c r="D293" s="4"/>
      <c r="E293" s="3" t="s">
        <v>43</v>
      </c>
      <c r="F293" s="4" t="s">
        <v>1133</v>
      </c>
      <c r="G293" s="6" t="str">
        <f t="shared" si="1"/>
        <v>Link</v>
      </c>
      <c r="H293" s="3" t="s">
        <v>187</v>
      </c>
      <c r="I293" s="8" t="str">
        <f t="shared" si="2"/>
        <v>{"address_components":[{"long_name":"Shelburne","short_name":"Shelburne","types":["locality","political"]},{"long_name":"Willsboro","short_name":"Willsboro","types":["administrative_area_level_3","political"]},{"long_name":"Chittenden County","short_name":"Chittenden County","types":["administrative_area_level_2","political"]},{"long_name":"Vermont","short_name":"VT","types":["administrative_area_level_1","political"]},{"short_name":"US","long_name":"United States","types":["country","political"]},{"types":["street_number"],"long_name":"14","short_name":"14"},{"short_name":"Falls Rd","types":["route"],"long_name":"Falls Road"},{"long_name":"Shelburne","short_name":"Shelburne","types":["neighborhood","political"]},{"long_name":"Shelburne","short_name":"Shelburne","types":["locality","political"]},{"types":["administrative_area_level_2","political"],"long_name":"Chittenden County","short_name":"Chittenden County"},{"long_name":"Vermont","short_name":"VT","types":["administrative_area_level_1","political"]},{"long_name":"United States","short_name":"US","types":["country","political"]},{"types":["postal_code"],"short_name":"05482","long_name":"05482"},{"types":["latitude"],"long_name":44.3806787,"short_name":44.3806787},{"types":["longitude"],"long_name":-73.2275593,"short_name":-73.2275593}]}</v>
      </c>
      <c r="J293" s="8" t="str">
        <f t="shared" si="3"/>
        <v>[{"long_name":"Shelburne","short_name":"Shelburne","types":["locality","political"]},{"long_name":"Willsboro","short_name":"Willsboro","types":["administrative_area_level_3","political"]},{"long_name":"Chittenden County","short_name":"Chittenden County","types":["administrative_area_level_2","political"]},{"long_name":"Vermont","short_name":"VT","types":["administrative_area_level_1","political"]},{"short_name":"US","long_name":"United States","types":["country","political"]},{"types":["street_number"],"long_name":"14","short_name":"14"},{"short_name":"Falls Rd","types":["route"],"long_name":"Falls Road"},{"long_name":"Shelburne","short_name":"Shelburne","types":["neighborhood","political"]},{"long_name":"Shelburne","short_name":"Shelburne","types":["locality","political"]},{"types":["administrative_area_level_2","political"],"long_name":"Chittenden County","short_name":"Chittenden County"},{"long_name":"Vermont","short_name":"VT","types":["administrative_area_level_1","political"]},{"long_name":"United States","short_name":"US","types":["country","political"]},{"types":["postal_code"],"short_name":"05482","long_name":"05482"},{"types":["latitude"],"long_name":44.3806787,"short_name":44.3806787},{"types":["longitude"],"long_name":-73.2275593,"short_name":-73.2275593},{"types":["debug_info","cache_load_result"],"long_name":"hit","short_name":"hit"}]</v>
      </c>
      <c r="K293" s="9" t="b">
        <f t="shared" si="363"/>
        <v>0</v>
      </c>
      <c r="L293" s="8" t="b">
        <f t="shared" si="4"/>
        <v>1</v>
      </c>
      <c r="M293" s="10" t="b">
        <v>1</v>
      </c>
      <c r="N293" s="10">
        <v>44.3806065</v>
      </c>
      <c r="O293" s="10">
        <v>-73.227626</v>
      </c>
      <c r="P293" s="15" t="s">
        <v>1134</v>
      </c>
      <c r="Q293" s="15" t="s">
        <v>791</v>
      </c>
      <c r="R293" s="15">
        <v>5482.0</v>
      </c>
      <c r="S293" s="15" t="s">
        <v>47</v>
      </c>
      <c r="T293" s="16">
        <v>2934.0</v>
      </c>
      <c r="U293" s="17">
        <v>1.8538194444444445</v>
      </c>
      <c r="V293" s="18">
        <v>2328.32</v>
      </c>
      <c r="W293" s="4"/>
      <c r="X293" s="4" t="str">
        <f t="shared" si="364"/>
        <v>N/A</v>
      </c>
      <c r="Y293" s="4"/>
      <c r="Z293" s="4" t="s">
        <v>38</v>
      </c>
      <c r="AA293" s="4"/>
      <c r="AB293" s="4" t="s">
        <v>1135</v>
      </c>
      <c r="AE293" s="4"/>
      <c r="AF293" s="14" t="s">
        <v>1136</v>
      </c>
    </row>
    <row r="294" hidden="1">
      <c r="A294" s="34" t="s">
        <v>930</v>
      </c>
      <c r="B294" s="4" t="s">
        <v>1137</v>
      </c>
      <c r="C294" s="4" t="s">
        <v>697</v>
      </c>
      <c r="D294" s="4"/>
      <c r="E294" s="3" t="s">
        <v>43</v>
      </c>
      <c r="F294" s="4" t="s">
        <v>1137</v>
      </c>
      <c r="G294" s="6" t="str">
        <f t="shared" si="1"/>
        <v>Link</v>
      </c>
      <c r="H294" s="3" t="s">
        <v>187</v>
      </c>
      <c r="I294" s="8" t="str">
        <f t="shared" si="2"/>
        <v>{"address_components":[{"short_name":"Damascus","long_name":"Damascus","types":["locality","political"]},{"types":["administrative_area_level_2","political"],"long_name":"Washington County","short_name":"Washington County"},{"long_name":"Virginia","types":["administrative_area_level_1","political"],"short_name":"VA"},{"short_name":"US","long_name":"United States","types":["country","political"]},{"long_name":"24236","types":["postal_code"],"short_name":"24236"},{"short_name":"107","types":["street_number"],"long_name":"107"},{"long_name":"Douglas Drive","types":["route"],"short_name":"Douglas Dr"},{"short_name":"Damascus","types":["locality","political"],"long_name":"Damascus"},{"short_name":"Washington County","types":["administrative_area_level_2","political"],"long_name":"Washington County"},{"long_name":"Virginia","types":["administrative_area_level_1","political"],"short_name":"VA"},{"types":["country","political"],"long_name":"United States","short_name":"US"},{"long_name":"24236","types":["postal_code"],"short_name":"24236"},{"types":["latitude"],"long_name":36.6337272,"short_name":36.6337272},{"types":["longitude"],"long_name":-81.7837303,"short_name":-81.7837303}]}</v>
      </c>
      <c r="J294" s="8" t="str">
        <f t="shared" si="3"/>
        <v>[{"short_name":"Damascus","long_name":"Damascus","types":["locality","political"]},{"types":["administrative_area_level_2","political"],"long_name":"Washington County","short_name":"Washington County"},{"long_name":"Virginia","types":["administrative_area_level_1","political"],"short_name":"VA"},{"short_name":"US","long_name":"United States","types":["country","political"]},{"long_name":"24236","types":["postal_code"],"short_name":"24236"},{"short_name":"107","types":["street_number"],"long_name":"107"},{"long_name":"Douglas Drive","types":["route"],"short_name":"Douglas Dr"},{"short_name":"Damascus","types":["locality","political"],"long_name":"Damascus"},{"short_name":"Washington County","types":["administrative_area_level_2","political"],"long_name":"Washington County"},{"long_name":"Virginia","types":["administrative_area_level_1","political"],"short_name":"VA"},{"types":["country","political"],"long_name":"United States","short_name":"US"},{"long_name":"24236","types":["postal_code"],"short_name":"24236"},{"types":["latitude"],"long_name":36.6337272,"short_name":36.6337272},{"types":["longitude"],"long_name":-81.7837303,"short_name":-81.7837303},{"types":["debug_info","cache_load_result"],"long_name":"hit","short_name":"hit"}]</v>
      </c>
      <c r="K294" s="9" t="b">
        <f t="shared" si="363"/>
        <v>0</v>
      </c>
      <c r="L294" s="8" t="b">
        <f t="shared" si="4"/>
        <v>1</v>
      </c>
      <c r="M294" s="10" t="b">
        <v>1</v>
      </c>
      <c r="N294" s="10">
        <v>36.6337272</v>
      </c>
      <c r="O294" s="10">
        <v>-81.7837303</v>
      </c>
      <c r="P294" s="10" t="s">
        <v>1138</v>
      </c>
      <c r="Q294" s="10" t="s">
        <v>1139</v>
      </c>
      <c r="R294" s="10">
        <v>24236.0</v>
      </c>
      <c r="S294" s="10" t="s">
        <v>47</v>
      </c>
      <c r="T294" s="19">
        <v>2633.9</v>
      </c>
      <c r="U294" s="32">
        <v>1.6602199074074073</v>
      </c>
      <c r="V294" s="18">
        <v>2183.36</v>
      </c>
      <c r="W294" s="4"/>
      <c r="X294" s="4" t="str">
        <f t="shared" si="364"/>
        <v>N/A</v>
      </c>
      <c r="Y294" s="4"/>
      <c r="Z294" s="4" t="s">
        <v>38</v>
      </c>
      <c r="AA294" s="4"/>
      <c r="AB294" s="4" t="s">
        <v>1140</v>
      </c>
      <c r="AE294" s="4"/>
      <c r="AF294" s="14" t="s">
        <v>1141</v>
      </c>
    </row>
    <row r="295" hidden="1">
      <c r="A295" s="34" t="s">
        <v>930</v>
      </c>
      <c r="B295" s="4" t="s">
        <v>1142</v>
      </c>
      <c r="C295" s="4" t="s">
        <v>697</v>
      </c>
      <c r="D295" s="4"/>
      <c r="E295" s="3" t="s">
        <v>43</v>
      </c>
      <c r="F295" s="4" t="s">
        <v>1143</v>
      </c>
      <c r="G295" s="6" t="str">
        <f t="shared" si="1"/>
        <v>Link</v>
      </c>
      <c r="H295" s="3" t="s">
        <v>187</v>
      </c>
      <c r="I295" s="8" t="str">
        <f t="shared" si="2"/>
        <v>{"address_components":[{"types":["locality","political"],"long_name":"La Conner","short_name":"La Conner"},{"short_name":"Skagit County","long_name":"Skagit County","types":["administrative_area_level_2","political"]},{"short_name":"WA","types":["administrative_area_level_1","political"],"long_name":"Washington"},{"long_name":"United States","short_name":"US","types":["country","political"]},{"long_name":"98257","short_name":"98257","types":["postal_code"]},{"long_name":"715","short_name":"715","types":["street_number"]},{"types":["route"],"long_name":"South 3rd Street","short_name":"S 3rd St"},{"short_name":"La Conner","long_name":"La Conner","types":["locality","political"]},{"types":["administrative_area_level_2","political"],"long_name":"Skagit County","short_name":"Skagit County"},{"long_name":"Washington","short_name":"WA","types":["administrative_area_level_1","political"]},{"long_name":"United States","short_name":"US","types":["country","political"]},{"long_name":"98257","short_name":"98257","types":["postal_code"]},{"types":["latitude"],"long_name":48.3887142,"short_name":48.3887142},{"types":["longitude"],"long_name":-122.4962752,"short_name":-122.4962752}]}</v>
      </c>
      <c r="J295" s="8" t="str">
        <f t="shared" si="3"/>
        <v>[{"types":["locality","political"],"long_name":"La Conner","short_name":"La Conner"},{"short_name":"Skagit County","long_name":"Skagit County","types":["administrative_area_level_2","political"]},{"short_name":"WA","types":["administrative_area_level_1","political"],"long_name":"Washington"},{"long_name":"United States","short_name":"US","types":["country","political"]},{"long_name":"98257","short_name":"98257","types":["postal_code"]},{"long_name":"715","short_name":"715","types":["street_number"]},{"types":["route"],"long_name":"South 3rd Street","short_name":"S 3rd St"},{"short_name":"La Conner","long_name":"La Conner","types":["locality","political"]},{"types":["administrative_area_level_2","political"],"long_name":"Skagit County","short_name":"Skagit County"},{"long_name":"Washington","short_name":"WA","types":["administrative_area_level_1","political"]},{"long_name":"United States","short_name":"US","types":["country","political"]},{"long_name":"98257","short_name":"98257","types":["postal_code"]},{"types":["latitude"],"long_name":48.3887142,"short_name":48.3887142},{"types":["longitude"],"long_name":-122.4962752,"short_name":-122.4962752},{"types":["debug_info","cache_load_result"],"long_name":"hit","short_name":"hit"}]</v>
      </c>
      <c r="K295" s="9" t="b">
        <f t="shared" si="363"/>
        <v>0</v>
      </c>
      <c r="L295" s="8" t="b">
        <f t="shared" si="4"/>
        <v>1</v>
      </c>
      <c r="M295" s="10" t="b">
        <v>1</v>
      </c>
      <c r="N295" s="10">
        <v>48.3887142</v>
      </c>
      <c r="O295" s="10">
        <v>-122.4962752</v>
      </c>
      <c r="P295" s="10" t="s">
        <v>1142</v>
      </c>
      <c r="Q295" s="10" t="s">
        <v>193</v>
      </c>
      <c r="R295" s="10">
        <v>98257.0</v>
      </c>
      <c r="S295" s="10" t="s">
        <v>47</v>
      </c>
      <c r="T295" s="19">
        <v>67.1</v>
      </c>
      <c r="U295" s="32">
        <v>0.054050925925925926</v>
      </c>
      <c r="V295" s="18">
        <v>53.98</v>
      </c>
      <c r="W295" s="4"/>
      <c r="X295" s="4" t="str">
        <f t="shared" si="364"/>
        <v>N/A</v>
      </c>
      <c r="Y295" s="4"/>
      <c r="Z295" s="4" t="s">
        <v>38</v>
      </c>
      <c r="AA295" s="4"/>
      <c r="AB295" s="14" t="s">
        <v>706</v>
      </c>
      <c r="AE295" s="4"/>
      <c r="AF295" s="4" t="s">
        <v>1144</v>
      </c>
    </row>
    <row r="296" hidden="1">
      <c r="A296" s="34" t="s">
        <v>930</v>
      </c>
      <c r="B296" s="4" t="s">
        <v>1145</v>
      </c>
      <c r="C296" s="4" t="s">
        <v>697</v>
      </c>
      <c r="D296" s="4"/>
      <c r="E296" s="3" t="s">
        <v>43</v>
      </c>
      <c r="F296" s="4" t="s">
        <v>1146</v>
      </c>
      <c r="G296" s="6" t="str">
        <f t="shared" si="1"/>
        <v>Link</v>
      </c>
      <c r="H296" s="3" t="s">
        <v>187</v>
      </c>
      <c r="I296" s="8" t="str">
        <f t="shared" si="2"/>
        <v>{"address_components":[{"types":["locality","political"],"long_name":"Stevenson","short_name":"Stevenson"},{"long_name":"Skamania County","short_name":"Skamania County","types":["administrative_area_level_2","political"]},{"long_name":"Washington","short_name":"WA","types":["administrative_area_level_1","political"]},{"types":["country","political"],"long_name":"United States","short_name":"US"},{"long_name":"98648","short_name":"98648","types":["postal_code"]},{"long_name":"100","short_name":"100","types":["street_number"]},{"long_name":"School Street","short_name":"School St","types":["route"]},{"types":["locality","political"],"long_name":"Stevenson","short_name":"Stevenson"},{"types":["administrative_area_level_2","political"],"long_name":"Skamania County","short_name":"Skamania County"},{"types":["administrative_area_level_1","political"],"long_name":"Washington","short_name":"WA"},{"long_name":"United States","short_name":"US","types":["country","political"]},{"types":["postal_code"],"long_name":"98648","short_name":"98648"},{"types":["latitude"],"long_name":45.6956723,"short_name":45.6956723},{"types":["longitude"],"long_name":-121.8845241,"short_name":-121.8845241}]}</v>
      </c>
      <c r="J296" s="8" t="str">
        <f t="shared" si="3"/>
        <v>[{"types":["locality","political"],"long_name":"Stevenson","short_name":"Stevenson"},{"long_name":"Skamania County","short_name":"Skamania County","types":["administrative_area_level_2","political"]},{"long_name":"Washington","short_name":"WA","types":["administrative_area_level_1","political"]},{"types":["country","political"],"long_name":"United States","short_name":"US"},{"long_name":"98648","short_name":"98648","types":["postal_code"]},{"long_name":"100","short_name":"100","types":["street_number"]},{"long_name":"School Street","short_name":"School St","types":["route"]},{"types":["locality","political"],"long_name":"Stevenson","short_name":"Stevenson"},{"types":["administrative_area_level_2","political"],"long_name":"Skamania County","short_name":"Skamania County"},{"types":["administrative_area_level_1","political"],"long_name":"Washington","short_name":"WA"},{"long_name":"United States","short_name":"US","types":["country","political"]},{"types":["postal_code"],"long_name":"98648","short_name":"98648"},{"types":["latitude"],"long_name":45.6956723,"short_name":45.6956723},{"types":["longitude"],"long_name":-121.8845241,"short_name":-121.8845241},{"types":["debug_info","cache_load_result"],"long_name":"hit","short_name":"hit"}]</v>
      </c>
      <c r="K296" s="9" t="b">
        <f t="shared" si="363"/>
        <v>0</v>
      </c>
      <c r="L296" s="8" t="b">
        <f t="shared" si="4"/>
        <v>1</v>
      </c>
      <c r="M296" s="10" t="b">
        <v>1</v>
      </c>
      <c r="N296" s="10">
        <v>45.6956723</v>
      </c>
      <c r="O296" s="10">
        <v>-121.8845241</v>
      </c>
      <c r="P296" s="10" t="s">
        <v>1145</v>
      </c>
      <c r="Q296" s="10" t="s">
        <v>193</v>
      </c>
      <c r="R296" s="10">
        <v>98648.0</v>
      </c>
      <c r="S296" s="10" t="s">
        <v>47</v>
      </c>
      <c r="T296" s="19">
        <v>207.3</v>
      </c>
      <c r="U296" s="32">
        <v>0.14864583333333334</v>
      </c>
      <c r="V296" s="18">
        <v>134.32</v>
      </c>
      <c r="W296" s="4"/>
      <c r="X296" s="4" t="str">
        <f t="shared" si="364"/>
        <v>N/A</v>
      </c>
      <c r="Y296" s="4"/>
      <c r="Z296" s="4" t="s">
        <v>38</v>
      </c>
      <c r="AA296" s="4"/>
      <c r="AB296" s="14" t="s">
        <v>706</v>
      </c>
      <c r="AE296" s="4"/>
      <c r="AF296" s="4" t="s">
        <v>1147</v>
      </c>
    </row>
    <row r="297" hidden="1">
      <c r="A297" s="34" t="s">
        <v>930</v>
      </c>
      <c r="B297" s="4" t="s">
        <v>1148</v>
      </c>
      <c r="C297" s="4" t="s">
        <v>697</v>
      </c>
      <c r="D297" s="4"/>
      <c r="E297" s="3" t="s">
        <v>43</v>
      </c>
      <c r="F297" s="4" t="s">
        <v>1149</v>
      </c>
      <c r="G297" s="6" t="str">
        <f t="shared" si="1"/>
        <v>Link</v>
      </c>
      <c r="H297" s="3" t="s">
        <v>187</v>
      </c>
      <c r="I297" s="8" t="str">
        <f t="shared" si="2"/>
        <v>{"address_components":[{"short_name":"Roslyn","long_name":"Roslyn","types":["locality","political"]},{"types":["administrative_area_level_2","political"],"long_name":"Kittitas County","short_name":"Kittitas County"},{"long_name":"Washington","short_name":"WA","types":["administrative_area_level_1","political"]},{"long_name":"United States","short_name":"US","types":["country","political"]},{"long_name":"suite d &amp; e","short_name":"suite d &amp; e","types":["subpremise"]},{"short_name":"101","long_name":"101","types":["street_number"]},{"long_name":"East Pennsylvania Avenue","types":["route"],"short_name":"E Pennsylvania Ave"},{"long_name":"Roslyn","types":["locality","political"],"short_name":"Roslyn"},{"long_name":"Kittitas County","short_name":"Kittitas County","types":["administrative_area_level_2","political"]},{"long_name":"Washington","short_name":"WA","types":["administrative_area_level_1","political"]},{"long_name":"United States","short_name":"US","types":["country","political"]},{"long_name":"98941","short_name":"98941","types":["postal_code"]},{"types":["latitude"],"long_name":47.2234523,"short_name":47.2234523},{"types":["longitude"],"long_name":-120.9931394,"short_name":-120.9931394}]}</v>
      </c>
      <c r="J297" s="8" t="str">
        <f t="shared" si="3"/>
        <v>[{"short_name":"Roslyn","long_name":"Roslyn","types":["locality","political"]},{"types":["administrative_area_level_2","political"],"long_name":"Kittitas County","short_name":"Kittitas County"},{"long_name":"Washington","short_name":"WA","types":["administrative_area_level_1","political"]},{"long_name":"United States","short_name":"US","types":["country","political"]},{"long_name":"suite d &amp; e","short_name":"suite d &amp; e","types":["subpremise"]},{"short_name":"101","long_name":"101","types":["street_number"]},{"long_name":"East Pennsylvania Avenue","types":["route"],"short_name":"E Pennsylvania Ave"},{"long_name":"Roslyn","types":["locality","political"],"short_name":"Roslyn"},{"long_name":"Kittitas County","short_name":"Kittitas County","types":["administrative_area_level_2","political"]},{"long_name":"Washington","short_name":"WA","types":["administrative_area_level_1","political"]},{"long_name":"United States","short_name":"US","types":["country","political"]},{"long_name":"98941","short_name":"98941","types":["postal_code"]},{"types":["latitude"],"long_name":47.2234523,"short_name":47.2234523},{"types":["longitude"],"long_name":-120.9931394,"short_name":-120.9931394},{"types":["debug_info","cache_load_result"],"long_name":"hit","short_name":"hit"}]</v>
      </c>
      <c r="K297" s="9" t="b">
        <f t="shared" si="363"/>
        <v>0</v>
      </c>
      <c r="L297" s="8" t="b">
        <f t="shared" si="4"/>
        <v>1</v>
      </c>
      <c r="M297" s="10" t="b">
        <v>1</v>
      </c>
      <c r="N297" s="10">
        <v>47.2234523</v>
      </c>
      <c r="O297" s="10">
        <v>-120.9931394</v>
      </c>
      <c r="P297" s="10" t="s">
        <v>1148</v>
      </c>
      <c r="Q297" s="10" t="s">
        <v>193</v>
      </c>
      <c r="R297" s="10">
        <v>98941.0</v>
      </c>
      <c r="S297" s="10" t="s">
        <v>47</v>
      </c>
      <c r="T297" s="19">
        <v>83.8</v>
      </c>
      <c r="U297" s="32">
        <v>0.06153935185185185</v>
      </c>
      <c r="V297" s="18">
        <v>68.58</v>
      </c>
      <c r="W297" s="4"/>
      <c r="X297" s="4" t="str">
        <f t="shared" si="364"/>
        <v>N/A</v>
      </c>
      <c r="Y297" s="4"/>
      <c r="Z297" s="4" t="s">
        <v>38</v>
      </c>
      <c r="AA297" s="4"/>
      <c r="AB297" s="14" t="s">
        <v>706</v>
      </c>
      <c r="AE297" s="4"/>
      <c r="AF297" s="4" t="s">
        <v>1150</v>
      </c>
    </row>
    <row r="298" hidden="1">
      <c r="A298" s="34" t="s">
        <v>930</v>
      </c>
      <c r="B298" s="4" t="s">
        <v>1151</v>
      </c>
      <c r="C298" s="4" t="s">
        <v>697</v>
      </c>
      <c r="D298" s="4"/>
      <c r="E298" s="3" t="s">
        <v>43</v>
      </c>
      <c r="F298" s="4" t="s">
        <v>1152</v>
      </c>
      <c r="G298" s="6" t="str">
        <f t="shared" si="1"/>
        <v>Link</v>
      </c>
      <c r="H298" s="3" t="s">
        <v>187</v>
      </c>
      <c r="I298" s="8" t="str">
        <f t="shared" si="2"/>
        <v>{"address_components":[{"types":["locality","political"],"long_name":"Dayton","short_name":"Dayton"},{"types":["administrative_area_level_2","political"],"long_name":"Columbia County","short_name":"Columbia County"},{"long_name":"Washington","types":["administrative_area_level_1","political"],"short_name":"WA"},{"short_name":"US","long_name":"United States","types":["country","political"]},{"types":["postal_code"],"long_name":"99328","short_name":"99328"},{"long_name":"15","types":["street_number"],"short_name":"15"},{"types":["route"],"short_name":"Patit Rd","long_name":"Patit Road"},{"long_name":"Dayton","short_name":"Dayton","types":["locality","political"]},{"types":["administrative_area_level_2","political"],"long_name":"Columbia County","short_name":"Columbia County"},{"short_name":"WA","long_name":"Washington","types":["administrative_area_level_1","political"]},{"short_name":"US","long_name":"United States","types":["country","political"]},{"short_name":"99328","types":["postal_code"],"long_name":"99328"},{"types":["latitude"],"long_name":46.3237525,"short_name":46.3237525},{"types":["longitude"],"long_name":-117.9724367,"short_name":-117.9724367}]}</v>
      </c>
      <c r="J298" s="8" t="str">
        <f t="shared" si="3"/>
        <v>[{"types":["locality","political"],"long_name":"Dayton","short_name":"Dayton"},{"types":["administrative_area_level_2","political"],"long_name":"Columbia County","short_name":"Columbia County"},{"long_name":"Washington","types":["administrative_area_level_1","political"],"short_name":"WA"},{"short_name":"US","long_name":"United States","types":["country","political"]},{"types":["postal_code"],"long_name":"99328","short_name":"99328"},{"long_name":"15","types":["street_number"],"short_name":"15"},{"types":["route"],"short_name":"Patit Rd","long_name":"Patit Road"},{"long_name":"Dayton","short_name":"Dayton","types":["locality","political"]},{"types":["administrative_area_level_2","political"],"long_name":"Columbia County","short_name":"Columbia County"},{"short_name":"WA","long_name":"Washington","types":["administrative_area_level_1","political"]},{"short_name":"US","long_name":"United States","types":["country","political"]},{"short_name":"99328","types":["postal_code"],"long_name":"99328"},{"types":["latitude"],"long_name":46.3237525,"short_name":46.3237525},{"types":["longitude"],"long_name":-117.9724367,"short_name":-117.9724367},{"types":["debug_info","cache_load_result"],"long_name":"hit","short_name":"hit"}]</v>
      </c>
      <c r="K298" s="9" t="b">
        <f t="shared" si="363"/>
        <v>0</v>
      </c>
      <c r="L298" s="8" t="b">
        <f t="shared" si="4"/>
        <v>1</v>
      </c>
      <c r="M298" s="10" t="b">
        <v>1</v>
      </c>
      <c r="N298" s="10">
        <v>46.3237525</v>
      </c>
      <c r="O298" s="10">
        <v>-117.9724367</v>
      </c>
      <c r="P298" s="10" t="s">
        <v>1151</v>
      </c>
      <c r="Q298" s="10" t="s">
        <v>193</v>
      </c>
      <c r="R298" s="10">
        <v>99328.0</v>
      </c>
      <c r="S298" s="10" t="s">
        <v>47</v>
      </c>
      <c r="T298" s="19">
        <v>270.2</v>
      </c>
      <c r="U298" s="32">
        <v>0.19011574074074075</v>
      </c>
      <c r="V298" s="18">
        <v>224.43</v>
      </c>
      <c r="W298" s="4"/>
      <c r="X298" s="4" t="str">
        <f t="shared" si="364"/>
        <v>N/A</v>
      </c>
      <c r="Y298" s="4"/>
      <c r="Z298" s="4" t="s">
        <v>38</v>
      </c>
      <c r="AA298" s="4"/>
      <c r="AB298" s="14" t="s">
        <v>706</v>
      </c>
      <c r="AE298" s="4"/>
      <c r="AF298" s="4" t="s">
        <v>1153</v>
      </c>
    </row>
    <row r="299" hidden="1">
      <c r="A299" s="34" t="s">
        <v>930</v>
      </c>
      <c r="B299" s="4" t="s">
        <v>1154</v>
      </c>
      <c r="C299" s="4" t="s">
        <v>697</v>
      </c>
      <c r="D299" s="4"/>
      <c r="E299" s="3" t="s">
        <v>43</v>
      </c>
      <c r="F299" s="4" t="s">
        <v>1154</v>
      </c>
      <c r="G299" s="6" t="str">
        <f t="shared" si="1"/>
        <v>Link</v>
      </c>
      <c r="H299" s="3" t="s">
        <v>187</v>
      </c>
      <c r="I299" s="8" t="str">
        <f t="shared" si="2"/>
        <v>{"address_components":[{"types":["locality","political"],"long_name":"Harpers Ferry","short_name":"Harpers Ferry"},{"long_name":"Jefferson County","short_name":"Jefferson County","types":["administrative_area_level_2","political"]},{"types":["administrative_area_level_1","political"],"long_name":"West Virginia","short_name":"WV"},{"types":["country","political"],"long_name":"United States","short_name":"US"},{"types":["postal_code"],"long_name":"25425","short_name":"25425"},{"types":["street_number"],"long_name":"601","short_name":"601"},{"long_name":"Washington Street","short_name":"Washington St","types":["route"]},{"types":["locality","political"],"long_name":"Harpers Ferry","short_name":"Harpers Ferry"},{"long_name":"Jefferson County","short_name":"Jefferson County","types":["administrative_area_level_2","political"]},{"long_name":"West Virginia","short_name":"WV","types":["administrative_area_level_1","political"]},{"types":["country","political"],"long_name":"United States","short_name":"US"},{"long_name":"25425","short_name":"25425","types":["postal_code"]},{"types":["latitude"],"long_name":39.3253786,"short_name":39.3253786},{"types":["longitude"],"long_name":-77.7388818,"short_name":-77.7388818}]}</v>
      </c>
      <c r="J299" s="8" t="str">
        <f t="shared" si="3"/>
        <v>[{"types":["locality","political"],"long_name":"Harpers Ferry","short_name":"Harpers Ferry"},{"long_name":"Jefferson County","short_name":"Jefferson County","types":["administrative_area_level_2","political"]},{"types":["administrative_area_level_1","political"],"long_name":"West Virginia","short_name":"WV"},{"types":["country","political"],"long_name":"United States","short_name":"US"},{"types":["postal_code"],"long_name":"25425","short_name":"25425"},{"types":["street_number"],"long_name":"601","short_name":"601"},{"long_name":"Washington Street","short_name":"Washington St","types":["route"]},{"types":["locality","political"],"long_name":"Harpers Ferry","short_name":"Harpers Ferry"},{"long_name":"Jefferson County","short_name":"Jefferson County","types":["administrative_area_level_2","political"]},{"long_name":"West Virginia","short_name":"WV","types":["administrative_area_level_1","political"]},{"types":["country","political"],"long_name":"United States","short_name":"US"},{"long_name":"25425","short_name":"25425","types":["postal_code"]},{"types":["latitude"],"long_name":39.3253786,"short_name":39.3253786},{"types":["longitude"],"long_name":-77.7388818,"short_name":-77.7388818},{"types":["debug_info","cache_load_result"],"long_name":"hit","short_name":"hit"}]</v>
      </c>
      <c r="K299" s="9" t="b">
        <f t="shared" si="363"/>
        <v>0</v>
      </c>
      <c r="L299" s="8" t="b">
        <f t="shared" si="4"/>
        <v>1</v>
      </c>
      <c r="M299" s="10" t="b">
        <v>1</v>
      </c>
      <c r="N299" s="10">
        <v>39.3253786</v>
      </c>
      <c r="O299" s="10">
        <v>-77.7388818</v>
      </c>
      <c r="P299" s="10" t="s">
        <v>1155</v>
      </c>
      <c r="Q299" s="10" t="s">
        <v>1156</v>
      </c>
      <c r="R299" s="10">
        <v>25425.0</v>
      </c>
      <c r="S299" s="10" t="s">
        <v>47</v>
      </c>
      <c r="T299" s="19">
        <v>2697.8</v>
      </c>
      <c r="U299" s="32">
        <v>1.6801041666666667</v>
      </c>
      <c r="V299" s="18">
        <v>2275.03</v>
      </c>
      <c r="W299" s="4"/>
      <c r="X299" s="4" t="str">
        <f t="shared" si="364"/>
        <v>N/A</v>
      </c>
      <c r="Y299" s="4"/>
      <c r="Z299" s="4" t="s">
        <v>38</v>
      </c>
      <c r="AA299" s="4"/>
      <c r="AB299" s="4" t="s">
        <v>1157</v>
      </c>
      <c r="AE299" s="4"/>
      <c r="AF299" s="14" t="s">
        <v>1158</v>
      </c>
    </row>
    <row r="300" hidden="1">
      <c r="A300" s="34" t="s">
        <v>930</v>
      </c>
      <c r="B300" s="4" t="s">
        <v>1159</v>
      </c>
      <c r="C300" s="4" t="s">
        <v>697</v>
      </c>
      <c r="D300" s="4"/>
      <c r="E300" s="3" t="s">
        <v>43</v>
      </c>
      <c r="F300" s="4" t="s">
        <v>1159</v>
      </c>
      <c r="G300" s="6" t="str">
        <f t="shared" si="1"/>
        <v>Link</v>
      </c>
      <c r="H300" s="3" t="s">
        <v>187</v>
      </c>
      <c r="I300" s="8" t="str">
        <f t="shared" si="2"/>
        <v>{"address_components":[{"types":["locality","political"],"short_name":"Franklin","long_name":"Franklin"},{"short_name":"Williamson County","types":["administrative_area_level_2","political"],"long_name":"Williamson County"},{"long_name":"Tennessee","short_name":"TN","types":["administrative_area_level_1","political"]},{"long_name":"United States","types":["country","political"],"short_name":"US"},{"short_name":"140","long_name":"140","types":["street_number"]},{"short_name":"3rd Ave S","types":["route"],"long_name":"3rd Avenue South"},{"types":["locality","political"],"long_name":"Franklin","short_name":"Franklin"},{"types":["administrative_area_level_2","political"],"short_name":"Williamson County","long_name":"Williamson County"},{"short_name":"TN","long_name":"Tennessee","types":["administrative_area_level_1","political"]},{"short_name":"US","types":["country","political"],"long_name":"United States"},{"types":["postal_code"],"short_name":"37064","long_name":"37064"},{"types":["latitude"],"long_name":35.9238901,"short_name":35.9238901},{"types":["longitude"],"long_name":-86.8676866,"short_name":-86.8676866}]}</v>
      </c>
      <c r="J300" s="8" t="str">
        <f t="shared" si="3"/>
        <v>[{"types":["locality","political"],"short_name":"Franklin","long_name":"Franklin"},{"short_name":"Williamson County","types":["administrative_area_level_2","political"],"long_name":"Williamson County"},{"long_name":"Tennessee","short_name":"TN","types":["administrative_area_level_1","political"]},{"long_name":"United States","types":["country","political"],"short_name":"US"},{"short_name":"140","long_name":"140","types":["street_number"]},{"short_name":"3rd Ave S","types":["route"],"long_name":"3rd Avenue South"},{"types":["locality","political"],"long_name":"Franklin","short_name":"Franklin"},{"types":["administrative_area_level_2","political"],"short_name":"Williamson County","long_name":"Williamson County"},{"short_name":"TN","long_name":"Tennessee","types":["administrative_area_level_1","political"]},{"short_name":"US","types":["country","political"],"long_name":"United States"},{"types":["postal_code"],"short_name":"37064","long_name":"37064"},{"types":["latitude"],"long_name":35.9238901,"short_name":35.9238901},{"types":["longitude"],"long_name":-86.8676866,"short_name":-86.8676866},{"types":["debug_info","cache_load_result"],"long_name":"hit","short_name":"hit"}]</v>
      </c>
      <c r="K300" s="9" t="b">
        <f t="shared" si="363"/>
        <v>0</v>
      </c>
      <c r="L300" s="8" t="b">
        <f t="shared" si="4"/>
        <v>1</v>
      </c>
      <c r="M300" s="10" t="b">
        <v>1</v>
      </c>
      <c r="N300" s="10">
        <v>35.9250637</v>
      </c>
      <c r="O300" s="10">
        <v>-86.8688899</v>
      </c>
      <c r="P300" s="10" t="s">
        <v>1160</v>
      </c>
      <c r="Q300" s="10" t="s">
        <v>1161</v>
      </c>
      <c r="R300" s="10" t="s">
        <v>55</v>
      </c>
      <c r="S300" s="10" t="s">
        <v>47</v>
      </c>
      <c r="T300" s="19">
        <v>2408.5</v>
      </c>
      <c r="U300" s="32">
        <v>1.4906597222222222</v>
      </c>
      <c r="V300" s="18">
        <v>1976.44</v>
      </c>
      <c r="W300" s="4"/>
      <c r="X300" s="4" t="str">
        <f t="shared" si="364"/>
        <v>N/A</v>
      </c>
      <c r="Y300" s="4"/>
      <c r="Z300" s="4" t="s">
        <v>38</v>
      </c>
      <c r="AA300" s="4"/>
      <c r="AB300" s="4" t="s">
        <v>1162</v>
      </c>
      <c r="AE300" s="4"/>
      <c r="AF300" s="14" t="s">
        <v>1163</v>
      </c>
    </row>
    <row r="301" hidden="1">
      <c r="A301" s="34" t="s">
        <v>930</v>
      </c>
      <c r="B301" s="4" t="s">
        <v>1164</v>
      </c>
      <c r="C301" s="4" t="s">
        <v>697</v>
      </c>
      <c r="D301" s="4"/>
      <c r="E301" s="3" t="s">
        <v>43</v>
      </c>
      <c r="F301" s="4" t="s">
        <v>1164</v>
      </c>
      <c r="G301" s="6" t="str">
        <f t="shared" si="1"/>
        <v>Link</v>
      </c>
      <c r="H301" s="3" t="s">
        <v>187</v>
      </c>
      <c r="I301" s="8" t="str">
        <f t="shared" si="2"/>
        <v>{"address_components":[{"long_name":"Pella","short_name":"Pella","types":["locality","political"]},{"short_name":"Marion County","types":["administrative_area_level_2","political"],"long_name":"Marion County"},{"short_name":"IA","long_name":"Iowa","types":["administrative_area_level_1","political"]},{"long_name":"United States","short_name":"US","types":["country","political"]},{"long_name":"50219","short_name":"50219","types":["postal_code"]},{"long_name":"898","short_name":"898","types":["street_number"]},{"types":["route"],"long_name":"Main Street","short_name":"Main St"},{"long_name":"Pella","short_name":"Pella","types":["locality","political"]},{"short_name":"Marion County","types":["administrative_area_level_2","political"],"long_name":"Marion County"},{"short_name":"IA","types":["administrative_area_level_1","political"],"long_name":"Iowa"},{"types":["country","political"],"long_name":"United States","short_name":"US"},{"long_name":"50219","short_name":"50219","types":["postal_code"]},{"types":["latitude"],"long_name":41.4080327,"short_name":41.4080327},{"types":["longitude"],"long_name":-92.91640500000001,"short_name":-92.91640500000001}]}</v>
      </c>
      <c r="J301" s="8" t="str">
        <f t="shared" si="3"/>
        <v>[{"long_name":"Pella","short_name":"Pella","types":["locality","political"]},{"short_name":"Marion County","types":["administrative_area_level_2","political"],"long_name":"Marion County"},{"short_name":"IA","long_name":"Iowa","types":["administrative_area_level_1","political"]},{"long_name":"United States","short_name":"US","types":["country","political"]},{"long_name":"50219","short_name":"50219","types":["postal_code"]},{"long_name":"898","short_name":"898","types":["street_number"]},{"types":["route"],"long_name":"Main Street","short_name":"Main St"},{"long_name":"Pella","short_name":"Pella","types":["locality","political"]},{"short_name":"Marion County","types":["administrative_area_level_2","political"],"long_name":"Marion County"},{"short_name":"IA","types":["administrative_area_level_1","political"],"long_name":"Iowa"},{"types":["country","political"],"long_name":"United States","short_name":"US"},{"long_name":"50219","short_name":"50219","types":["postal_code"]},{"types":["latitude"],"long_name":41.4080327,"short_name":41.4080327},{"types":["longitude"],"long_name":-92.91640500000001,"short_name":-92.91640500000001},{"types":["debug_info","cache_load_result"],"long_name":"hit","short_name":"hit"}]</v>
      </c>
      <c r="K301" s="9" t="b">
        <f t="shared" si="363"/>
        <v>0</v>
      </c>
      <c r="L301" s="8" t="b">
        <f t="shared" si="4"/>
        <v>1</v>
      </c>
      <c r="M301" s="10" t="b">
        <v>1</v>
      </c>
      <c r="N301" s="10">
        <v>41.4080327</v>
      </c>
      <c r="O301" s="10">
        <v>-92.916405</v>
      </c>
      <c r="P301" s="10" t="s">
        <v>1165</v>
      </c>
      <c r="Q301" s="10" t="s">
        <v>1166</v>
      </c>
      <c r="R301" s="10">
        <v>50219.0</v>
      </c>
      <c r="S301" s="10" t="s">
        <v>47</v>
      </c>
      <c r="T301" s="19">
        <v>1799.6</v>
      </c>
      <c r="U301" s="32">
        <v>1.1165625</v>
      </c>
      <c r="V301" s="18">
        <v>1501.66</v>
      </c>
      <c r="W301" s="4"/>
      <c r="X301" s="4" t="str">
        <f t="shared" si="364"/>
        <v>N/A</v>
      </c>
      <c r="Y301" s="4"/>
      <c r="Z301" s="4" t="s">
        <v>38</v>
      </c>
      <c r="AA301" s="4"/>
      <c r="AB301" s="4" t="s">
        <v>1167</v>
      </c>
      <c r="AE301" s="4"/>
      <c r="AF301" s="14" t="s">
        <v>1168</v>
      </c>
    </row>
    <row r="302" hidden="1">
      <c r="A302" s="34" t="s">
        <v>930</v>
      </c>
      <c r="B302" s="4" t="s">
        <v>1169</v>
      </c>
      <c r="C302" s="4" t="s">
        <v>697</v>
      </c>
      <c r="D302" s="4"/>
      <c r="E302" s="3" t="s">
        <v>43</v>
      </c>
      <c r="F302" s="4" t="s">
        <v>1169</v>
      </c>
      <c r="G302" s="6" t="str">
        <f t="shared" si="1"/>
        <v>Link</v>
      </c>
      <c r="H302" s="3" t="s">
        <v>187</v>
      </c>
      <c r="I302" s="8" t="str">
        <f t="shared" si="2"/>
        <v>{"address_components":[{"long_name":"Berlin","types":["locality","political"],"short_name":"Berlin"},{"short_name":"Worcester County","types":["administrative_area_level_2","political"],"long_name":"Worcester County"},{"long_name":"Maryland","short_name":"MD","types":["administrative_area_level_1","political"]},{"types":["country","political"],"long_name":"United States","short_name":"US"},{"long_name":"21811","short_name":"21811","types":["postal_code"]},{"long_name":"101","short_name":"101","types":["street_number"]},{"short_name":"S Main St","long_name":"South Main Street","types":["route"]},{"long_name":"Berlin","types":["locality","political"],"short_name":"Berlin"},{"long_name":"Worcester County","short_name":"Worcester County","types":["administrative_area_level_2","political"]},{"types":["administrative_area_level_1","political"],"long_name":"Maryland","short_name":"MD"},{"short_name":"US","types":["country","political"],"long_name":"United States"},{"short_name":"21811","types":["postal_code"],"long_name":"21811"},{"short_name":"1401","long_name":"1401","types":["postal_code_suffix"]},{"types":["latitude"],"long_name":38.3226153,"short_name":38.3226153},{"types":["longitude"],"long_name":-75.2176892,"short_name":-75.2176892}]}</v>
      </c>
      <c r="J302" s="8" t="str">
        <f t="shared" si="3"/>
        <v>[{"long_name":"Berlin","types":["locality","political"],"short_name":"Berlin"},{"short_name":"Worcester County","types":["administrative_area_level_2","political"],"long_name":"Worcester County"},{"long_name":"Maryland","short_name":"MD","types":["administrative_area_level_1","political"]},{"types":["country","political"],"long_name":"United States","short_name":"US"},{"long_name":"21811","short_name":"21811","types":["postal_code"]},{"long_name":"101","short_name":"101","types":["street_number"]},{"short_name":"S Main St","long_name":"South Main Street","types":["route"]},{"long_name":"Berlin","types":["locality","political"],"short_name":"Berlin"},{"long_name":"Worcester County","short_name":"Worcester County","types":["administrative_area_level_2","political"]},{"types":["administrative_area_level_1","political"],"long_name":"Maryland","short_name":"MD"},{"short_name":"US","types":["country","political"],"long_name":"United States"},{"short_name":"21811","types":["postal_code"],"long_name":"21811"},{"short_name":"1401","long_name":"1401","types":["postal_code_suffix"]},{"types":["latitude"],"long_name":38.3226153,"short_name":38.3226153},{"types":["longitude"],"long_name":-75.2176892,"short_name":-75.2176892},{"types":["debug_info","cache_load_result"],"long_name":"hit","short_name":"hit"}]</v>
      </c>
      <c r="K302" s="9" t="b">
        <f t="shared" si="363"/>
        <v>0</v>
      </c>
      <c r="L302" s="8" t="b">
        <f t="shared" si="4"/>
        <v>1</v>
      </c>
      <c r="M302" s="10" t="b">
        <v>1</v>
      </c>
      <c r="N302" s="10">
        <v>38.3226153</v>
      </c>
      <c r="O302" s="10">
        <v>-75.2176892</v>
      </c>
      <c r="P302" s="10" t="s">
        <v>1170</v>
      </c>
      <c r="Q302" s="10" t="s">
        <v>1041</v>
      </c>
      <c r="R302" s="10">
        <v>21811.0</v>
      </c>
      <c r="S302" s="10" t="s">
        <v>47</v>
      </c>
      <c r="T302" s="19">
        <v>2894.1</v>
      </c>
      <c r="U302" s="32">
        <v>1.7922106481481481</v>
      </c>
      <c r="V302" s="18">
        <v>2427.17</v>
      </c>
      <c r="W302" s="4"/>
      <c r="X302" s="4" t="str">
        <f t="shared" si="364"/>
        <v>N/A</v>
      </c>
      <c r="Y302" s="4"/>
      <c r="Z302" s="4" t="s">
        <v>38</v>
      </c>
      <c r="AA302" s="4"/>
      <c r="AB302" s="4" t="s">
        <v>1171</v>
      </c>
      <c r="AE302" s="4"/>
      <c r="AF302" s="14" t="s">
        <v>1172</v>
      </c>
    </row>
    <row r="303" hidden="1">
      <c r="A303" s="34" t="s">
        <v>930</v>
      </c>
      <c r="B303" s="4" t="s">
        <v>1173</v>
      </c>
      <c r="C303" s="4" t="s">
        <v>697</v>
      </c>
      <c r="D303" s="4"/>
      <c r="E303" s="3" t="s">
        <v>43</v>
      </c>
      <c r="F303" s="4" t="s">
        <v>1173</v>
      </c>
      <c r="G303" s="6" t="str">
        <f t="shared" si="1"/>
        <v>Link</v>
      </c>
      <c r="H303" s="3" t="s">
        <v>187</v>
      </c>
      <c r="I303" s="8" t="str">
        <f t="shared" si="2"/>
        <v>{"address_components":[{"long_name":"Little Compton","short_name":"Little Compton","types":["locality","political"]},{"types":["administrative_area_level_3","political"],"long_name":"Tiverton","short_name":"Tiverton"},{"short_name":"Newport County","long_name":"Newport County","types":["administrative_area_level_2","political"]},{"long_name":"Rhode Island","short_name":"RI","types":["administrative_area_level_1","political"]},{"types":["country","political"],"short_name":"US","long_name":"United States"},{"types":["street_number"],"long_name":"44","short_name":"44"},{"short_name":"Commons St","long_name":"Commons Street","types":["route"]},{"types":["locality","political"],"long_name":"Little Compton","short_name":"Little Compton"},{"short_name":"Newport County","types":["administrative_area_level_2","political"],"long_name":"Newport County"},{"short_name":"RI","types":["administrative_area_level_1","political"],"long_name":"Rhode Island"},{"types":["country","political"],"long_name":"United States","short_name":"US"},{"long_name":"02837","short_name":"02837","types":["postal_code"]},{"types":["postal_code_suffix"],"short_name":"1544","long_name":"1544"},{"types":["latitude"],"long_name":41.5101032,"short_name":41.5101032},{"types":["longitude"],"long_name":-71.17115629999999,"short_name":-71.17115629999999}]}</v>
      </c>
      <c r="J303" s="8" t="str">
        <f t="shared" si="3"/>
        <v>[{"long_name":"Little Compton","short_name":"Little Compton","types":["locality","political"]},{"types":["administrative_area_level_3","political"],"long_name":"Tiverton","short_name":"Tiverton"},{"short_name":"Newport County","long_name":"Newport County","types":["administrative_area_level_2","political"]},{"long_name":"Rhode Island","short_name":"RI","types":["administrative_area_level_1","political"]},{"types":["country","political"],"short_name":"US","long_name":"United States"},{"types":["street_number"],"long_name":"44","short_name":"44"},{"short_name":"Commons St","long_name":"Commons Street","types":["route"]},{"types":["locality","political"],"long_name":"Little Compton","short_name":"Little Compton"},{"short_name":"Newport County","types":["administrative_area_level_2","political"],"long_name":"Newport County"},{"short_name":"RI","types":["administrative_area_level_1","political"],"long_name":"Rhode Island"},{"types":["country","political"],"long_name":"United States","short_name":"US"},{"long_name":"02837","short_name":"02837","types":["postal_code"]},{"types":["postal_code_suffix"],"short_name":"1544","long_name":"1544"},{"types":["latitude"],"long_name":41.5101032,"short_name":41.5101032},{"types":["longitude"],"long_name":-71.17115629999999,"short_name":-71.17115629999999},{"types":["debug_info","cache_load_result"],"long_name":"hit","short_name":"hit"}]</v>
      </c>
      <c r="K303" s="9" t="b">
        <f t="shared" si="363"/>
        <v>0</v>
      </c>
      <c r="L303" s="8" t="b">
        <f t="shared" si="4"/>
        <v>1</v>
      </c>
      <c r="M303" s="10" t="b">
        <v>1</v>
      </c>
      <c r="N303" s="10">
        <v>41.5101032</v>
      </c>
      <c r="O303" s="10">
        <v>-71.1711563</v>
      </c>
      <c r="P303" s="15" t="s">
        <v>1174</v>
      </c>
      <c r="Q303" s="15" t="s">
        <v>1175</v>
      </c>
      <c r="R303" s="15">
        <v>2837.0</v>
      </c>
      <c r="S303" s="15" t="s">
        <v>47</v>
      </c>
      <c r="T303" s="16">
        <v>3062.5</v>
      </c>
      <c r="U303" s="17">
        <v>1.907662037037037</v>
      </c>
      <c r="V303" s="18">
        <v>2507.35</v>
      </c>
      <c r="W303" s="4"/>
      <c r="X303" s="4" t="str">
        <f t="shared" si="364"/>
        <v>N/A</v>
      </c>
      <c r="Y303" s="4"/>
      <c r="Z303" s="4" t="s">
        <v>38</v>
      </c>
      <c r="AA303" s="4"/>
      <c r="AB303" s="4" t="s">
        <v>1176</v>
      </c>
      <c r="AE303" s="4"/>
      <c r="AF303" s="14" t="s">
        <v>1177</v>
      </c>
    </row>
    <row r="304" hidden="1">
      <c r="A304" s="34" t="s">
        <v>930</v>
      </c>
      <c r="B304" s="4" t="s">
        <v>1178</v>
      </c>
      <c r="C304" s="4" t="s">
        <v>697</v>
      </c>
      <c r="D304" s="4"/>
      <c r="E304" s="3" t="s">
        <v>43</v>
      </c>
      <c r="F304" s="4" t="s">
        <v>1178</v>
      </c>
      <c r="G304" s="6" t="str">
        <f t="shared" si="1"/>
        <v>Link</v>
      </c>
      <c r="H304" s="3" t="s">
        <v>187</v>
      </c>
      <c r="I304" s="8" t="str">
        <f t="shared" si="2"/>
        <v>{"address_components":[{"types":["locality","political"],"long_name":"Fredericksburg","short_name":"Fredericksburg"},{"types":["administrative_area_level_2","political"],"long_name":"Gillespie County","short_name":"Gillespie County"},{"long_name":"Texas","short_name":"TX","types":["administrative_area_level_1","political"]},{"short_name":"US","types":["country","political"],"long_name":"United States"},{"long_name":"78624","types":["postal_code"],"short_name":"78624"},{"types":["street_number"],"long_name":"126","short_name":"126"},{"long_name":"U.S. 87","types":["route"],"short_name":"US-87"},{"types":["locality","political"],"long_name":"Fredericksburg","short_name":"Fredericksburg"},{"short_name":"Gillespie County","types":["administrative_area_level_2","political"],"long_name":"Gillespie County"},{"short_name":"TX","long_name":"Texas","types":["administrative_area_level_1","political"]},{"long_name":"United States","short_name":"US","types":["country","political"]},{"short_name":"78624","long_name":"78624","types":["postal_code"]},{"types":["latitude"],"long_name":30.27637,"short_name":30.27637},{"types":["longitude"],"long_name":-98.8738819,"short_name":-98.8738819}]}</v>
      </c>
      <c r="J304" s="8" t="str">
        <f t="shared" si="3"/>
        <v>[{"types":["locality","political"],"long_name":"Fredericksburg","short_name":"Fredericksburg"},{"types":["administrative_area_level_2","political"],"long_name":"Gillespie County","short_name":"Gillespie County"},{"long_name":"Texas","short_name":"TX","types":["administrative_area_level_1","political"]},{"short_name":"US","types":["country","political"],"long_name":"United States"},{"long_name":"78624","types":["postal_code"],"short_name":"78624"},{"types":["street_number"],"long_name":"126","short_name":"126"},{"long_name":"U.S. 87","types":["route"],"short_name":"US-87"},{"types":["locality","political"],"long_name":"Fredericksburg","short_name":"Fredericksburg"},{"short_name":"Gillespie County","types":["administrative_area_level_2","political"],"long_name":"Gillespie County"},{"short_name":"TX","long_name":"Texas","types":["administrative_area_level_1","political"]},{"long_name":"United States","short_name":"US","types":["country","political"]},{"short_name":"78624","long_name":"78624","types":["postal_code"]},{"types":["latitude"],"long_name":30.27637,"short_name":30.27637},{"types":["longitude"],"long_name":-98.8738819,"short_name":-98.8738819},{"types":["debug_info","cache_load_result"],"long_name":"hit","short_name":"hit"}]</v>
      </c>
      <c r="K304" s="9" t="b">
        <f t="shared" si="363"/>
        <v>0</v>
      </c>
      <c r="L304" s="8" t="b">
        <f t="shared" si="4"/>
        <v>1</v>
      </c>
      <c r="M304" s="10" t="b">
        <v>1</v>
      </c>
      <c r="N304" s="10">
        <v>30.2752011</v>
      </c>
      <c r="O304" s="10">
        <v>-98.8719843</v>
      </c>
      <c r="P304" s="10" t="s">
        <v>1179</v>
      </c>
      <c r="Q304" s="10" t="s">
        <v>1180</v>
      </c>
      <c r="R304" s="10">
        <v>78624.0</v>
      </c>
      <c r="S304" s="10" t="s">
        <v>47</v>
      </c>
      <c r="T304" s="19">
        <v>2077.7</v>
      </c>
      <c r="U304" s="32">
        <v>1.3361805555555555</v>
      </c>
      <c r="V304" s="18">
        <v>1726.52</v>
      </c>
      <c r="W304" s="4"/>
      <c r="X304" s="4" t="str">
        <f t="shared" si="364"/>
        <v>N/A</v>
      </c>
      <c r="Y304" s="4"/>
      <c r="Z304" s="4" t="s">
        <v>38</v>
      </c>
      <c r="AA304" s="4"/>
      <c r="AB304" s="4" t="s">
        <v>1181</v>
      </c>
      <c r="AE304" s="4"/>
      <c r="AF304" s="14" t="s">
        <v>1182</v>
      </c>
    </row>
    <row r="305" hidden="1">
      <c r="A305" s="34" t="s">
        <v>930</v>
      </c>
      <c r="B305" s="4" t="s">
        <v>1183</v>
      </c>
      <c r="C305" s="4" t="s">
        <v>697</v>
      </c>
      <c r="D305" s="4"/>
      <c r="E305" s="3" t="s">
        <v>43</v>
      </c>
      <c r="F305" s="4" t="s">
        <v>1184</v>
      </c>
      <c r="G305" s="6" t="str">
        <f t="shared" si="1"/>
        <v>Link</v>
      </c>
      <c r="H305" s="3" t="s">
        <v>187</v>
      </c>
      <c r="I305" s="8" t="str">
        <f t="shared" si="2"/>
        <v>{"address_components":[{"short_name":"Winthrop","long_name":"Winthrop","types":["locality","political"]},{"types":["administrative_area_level_2","political"],"short_name":"Okanogan County","long_name":"Okanogan County"},{"types":["administrative_area_level_1","political"],"long_name":"Washington","short_name":"WA"},{"short_name":"US","long_name":"United States","types":["country","political"]},{"long_name":"98862","short_name":"98862","types":["postal_code"]},{"long_name":"177","short_name":"177","types":["street_number"]},{"types":["route"],"long_name":"Riverside Avenue","short_name":"Riverside Ave"},{"short_name":"Winthrop","long_name":"Winthrop","types":["locality","political"]},{"short_name":"Okanogan County","long_name":"Okanogan County","types":["administrative_area_level_2","political"]},{"types":["administrative_area_level_1","political"],"long_name":"Washington","short_name":"WA"},{"types":["country","political"],"long_name":"United States","short_name":"US"},{"types":["postal_code"],"short_name":"98862","long_name":"98862"},{"types":["latitude"],"long_name":48.4778336,"short_name":48.4778336},{"types":["longitude"],"long_name":-120.1854093,"short_name":-120.1854093}]}</v>
      </c>
      <c r="J305" s="8" t="str">
        <f t="shared" si="3"/>
        <v>[{"short_name":"Winthrop","long_name":"Winthrop","types":["locality","political"]},{"types":["administrative_area_level_2","political"],"short_name":"Okanogan County","long_name":"Okanogan County"},{"types":["administrative_area_level_1","political"],"long_name":"Washington","short_name":"WA"},{"short_name":"US","long_name":"United States","types":["country","political"]},{"long_name":"98862","short_name":"98862","types":["postal_code"]},{"long_name":"177","short_name":"177","types":["street_number"]},{"types":["route"],"long_name":"Riverside Avenue","short_name":"Riverside Ave"},{"short_name":"Winthrop","long_name":"Winthrop","types":["locality","political"]},{"short_name":"Okanogan County","long_name":"Okanogan County","types":["administrative_area_level_2","political"]},{"types":["administrative_area_level_1","political"],"long_name":"Washington","short_name":"WA"},{"types":["country","political"],"long_name":"United States","short_name":"US"},{"types":["postal_code"],"short_name":"98862","long_name":"98862"},{"types":["latitude"],"long_name":48.4778336,"short_name":48.4778336},{"types":["longitude"],"long_name":-120.1854093,"short_name":-120.1854093},{"types":["debug_info","cache_load_result"],"long_name":"hit","short_name":"hit"}]</v>
      </c>
      <c r="K305" s="9" t="b">
        <f t="shared" si="363"/>
        <v>0</v>
      </c>
      <c r="L305" s="8" t="b">
        <f t="shared" si="4"/>
        <v>1</v>
      </c>
      <c r="M305" s="10" t="b">
        <v>1</v>
      </c>
      <c r="N305" s="10">
        <v>48.4779232</v>
      </c>
      <c r="O305" s="10">
        <v>-120.1861956</v>
      </c>
      <c r="P305" s="10" t="s">
        <v>1183</v>
      </c>
      <c r="Q305" s="10" t="s">
        <v>193</v>
      </c>
      <c r="R305" s="10">
        <v>98862.0</v>
      </c>
      <c r="S305" s="10" t="s">
        <v>47</v>
      </c>
      <c r="T305" s="19">
        <v>189.0</v>
      </c>
      <c r="U305" s="32">
        <v>0.15356481481481482</v>
      </c>
      <c r="V305" s="18">
        <v>116.07</v>
      </c>
      <c r="W305" s="4"/>
      <c r="X305" s="4" t="str">
        <f t="shared" si="364"/>
        <v>N/A</v>
      </c>
      <c r="Y305" s="4"/>
      <c r="Z305" s="4" t="s">
        <v>38</v>
      </c>
      <c r="AA305" s="4"/>
      <c r="AB305" s="14" t="s">
        <v>706</v>
      </c>
      <c r="AE305" s="4"/>
      <c r="AF305" s="4" t="s">
        <v>1185</v>
      </c>
    </row>
    <row r="306" hidden="1">
      <c r="A306" s="34" t="s">
        <v>930</v>
      </c>
      <c r="B306" s="4" t="s">
        <v>1186</v>
      </c>
      <c r="C306" s="4" t="s">
        <v>697</v>
      </c>
      <c r="D306" s="4"/>
      <c r="E306" s="3" t="s">
        <v>43</v>
      </c>
      <c r="F306" s="4" t="s">
        <v>1186</v>
      </c>
      <c r="G306" s="6" t="str">
        <f t="shared" si="1"/>
        <v>Link</v>
      </c>
      <c r="H306" s="3" t="s">
        <v>187</v>
      </c>
      <c r="I306" s="8" t="str">
        <f t="shared" si="2"/>
        <v>{"address_components":[{"long_name":"Welch","types":["locality","political"],"short_name":"Welch"},{"short_name":"McDowell County","long_name":"McDowell County","types":["administrative_area_level_2","political"]},{"types":["administrative_area_level_1","political"],"long_name":"West Virginia","short_name":"WV"},{"types":["country","political"],"long_name":"United States","short_name":"US"},{"types":["postal_code"],"long_name":"24801","short_name":"24801"},{"short_name":"105","types":["street_number"],"long_name":"105"},{"long_name":"Wyoming Street","short_name":"Wyoming St","types":["route"]},{"long_name":"Welch","types":["locality","political"],"short_name":"Welch"},{"long_name":"McDowell County","short_name":"McDowell County","types":["administrative_area_level_2","political"]},{"long_name":"West Virginia","types":["administrative_area_level_1","political"],"short_name":"WV"},{"long_name":"United States","short_name":"US","types":["country","political"]},{"long_name":"24801","types":["postal_code"],"short_name":"24801"},{"types":["postal_code_suffix"],"short_name":"2220","long_name":"2220"},{"types":["latitude"],"long_name":37.4328913,"short_name":37.4328913},{"types":["longitude"],"long_name":-81.5845513,"short_name":-81.5845513}]}</v>
      </c>
      <c r="J306" s="8" t="str">
        <f t="shared" si="3"/>
        <v>[{"long_name":"Welch","types":["locality","political"],"short_name":"Welch"},{"short_name":"McDowell County","long_name":"McDowell County","types":["administrative_area_level_2","political"]},{"types":["administrative_area_level_1","political"],"long_name":"West Virginia","short_name":"WV"},{"types":["country","political"],"long_name":"United States","short_name":"US"},{"types":["postal_code"],"long_name":"24801","short_name":"24801"},{"short_name":"105","types":["street_number"],"long_name":"105"},{"long_name":"Wyoming Street","short_name":"Wyoming St","types":["route"]},{"long_name":"Welch","types":["locality","political"],"short_name":"Welch"},{"long_name":"McDowell County","short_name":"McDowell County","types":["administrative_area_level_2","political"]},{"long_name":"West Virginia","types":["administrative_area_level_1","political"],"short_name":"WV"},{"long_name":"United States","short_name":"US","types":["country","political"]},{"long_name":"24801","types":["postal_code"],"short_name":"24801"},{"types":["postal_code_suffix"],"short_name":"2220","long_name":"2220"},{"types":["latitude"],"long_name":37.4328913,"short_name":37.4328913},{"types":["longitude"],"long_name":-81.5845513,"short_name":-81.5845513},{"types":["debug_info","cache_load_result"],"long_name":"hit","short_name":"hit"}]</v>
      </c>
      <c r="K306" s="9" t="b">
        <f t="shared" si="363"/>
        <v>0</v>
      </c>
      <c r="L306" s="8" t="b">
        <f t="shared" si="4"/>
        <v>1</v>
      </c>
      <c r="M306" s="10" t="b">
        <v>1</v>
      </c>
      <c r="N306" s="10">
        <v>37.4328913</v>
      </c>
      <c r="O306" s="10">
        <v>-81.5845513</v>
      </c>
      <c r="P306" s="10" t="s">
        <v>1187</v>
      </c>
      <c r="Q306" s="10" t="s">
        <v>1156</v>
      </c>
      <c r="R306" s="10">
        <v>24801.0</v>
      </c>
      <c r="S306" s="10" t="s">
        <v>47</v>
      </c>
      <c r="T306" s="19">
        <v>2639.4</v>
      </c>
      <c r="U306" s="32">
        <v>1.6548611111111111</v>
      </c>
      <c r="V306" s="18">
        <v>2162.81</v>
      </c>
      <c r="W306" s="4"/>
      <c r="X306" s="4" t="str">
        <f t="shared" si="364"/>
        <v>N/A</v>
      </c>
      <c r="Y306" s="4"/>
      <c r="Z306" s="4" t="s">
        <v>38</v>
      </c>
      <c r="AA306" s="4"/>
      <c r="AB306" s="4" t="s">
        <v>1188</v>
      </c>
      <c r="AE306" s="4"/>
      <c r="AF306" s="14" t="s">
        <v>1189</v>
      </c>
    </row>
    <row r="307" hidden="1">
      <c r="A307" s="34" t="s">
        <v>930</v>
      </c>
      <c r="B307" s="4" t="s">
        <v>1190</v>
      </c>
      <c r="C307" s="4" t="s">
        <v>697</v>
      </c>
      <c r="D307" s="4"/>
      <c r="E307" s="3" t="s">
        <v>43</v>
      </c>
      <c r="F307" s="4" t="s">
        <v>1190</v>
      </c>
      <c r="G307" s="6" t="str">
        <f t="shared" si="1"/>
        <v>Link</v>
      </c>
      <c r="H307" s="3" t="s">
        <v>187</v>
      </c>
      <c r="I307" s="8" t="str">
        <f t="shared" si="2"/>
        <v>{"address_components":[{"short_name":"Serenbe","long_name":"Serenbe","types":["neighborhood","political"]},{"short_name":"Chattahoochee Hills","types":["locality","political"],"long_name":"Chattahoochee Hills"},{"short_name":"Fulton County","types":["administrative_area_level_2","political"],"long_name":"Fulton County"},{"long_name":"Georgia","short_name":"GA","types":["administrative_area_level_1","political"]},{"long_name":"United States","types":["country","political"],"short_name":"US"},{"long_name":"30268","short_name":"30268","types":["postal_code"]},{"long_name":"7620","short_name":"7620","types":["street_number"]},{"long_name":"Rico Road","short_name":"Rico Rd","types":["route"]},{"long_name":"Palmetto","short_name":"Palmetto","types":["locality","political"]},{"long_name":"Fulton County","short_name":"Fulton County","types":["administrative_area_level_2","political"]},{"types":["administrative_area_level_1","political"],"long_name":"Georgia","short_name":"GA"},{"types":["country","political"],"long_name":"United States","short_name":"US"},{"long_name":"30268","short_name":"30268","types":["postal_code"]},{"short_name":"2031","types":["postal_code_suffix"],"long_name":"2031"},{"types":["latitude"],"long_name":33.5506064,"short_name":33.5506064},{"types":["longitude"],"long_name":-84.7606599,"short_name":-84.7606599}],"duration_from":{"days":{"driving":{"2116 4th Ave, Seattle, WA, 98121":1.627673611111111}}},"distance_from":{"mi":{"flying":{"2116 4th Ave, Seattle, WA, 98121":2170.334422806865},"driving":{"2116 4th Ave, Seattle, WA, 98121":2662.239800166528}}}}</v>
      </c>
      <c r="J307" s="8" t="str">
        <f t="shared" si="3"/>
        <v>[{"short_name":"Serenbe","long_name":"Serenbe","types":["neighborhood","political"]},{"short_name":"Chattahoochee Hills","types":["locality","political"],"long_name":"Chattahoochee Hills"},{"short_name":"Fulton County","types":["administrative_area_level_2","political"],"long_name":"Fulton County"},{"long_name":"Georgia","short_name":"GA","types":["administrative_area_level_1","political"]},{"long_name":"United States","types":["country","political"],"short_name":"US"},{"long_name":"30268","short_name":"30268","types":["postal_code"]},{"long_name":"7620","short_name":"7620","types":["street_number"]},{"long_name":"Rico Road","short_name":"Rico Rd","types":["route"]},{"long_name":"Palmetto","short_name":"Palmetto","types":["locality","political"]},{"long_name":"Fulton County","short_name":"Fulton County","types":["administrative_area_level_2","political"]},{"types":["administrative_area_level_1","political"],"long_name":"Georgia","short_name":"GA"},{"types":["country","political"],"long_name":"United States","short_name":"US"},{"long_name":"30268","short_name":"30268","types":["postal_code"]},{"short_name":"2031","types":["postal_code_suffix"],"long_name":"2031"},{"types":["latitude"],"long_name":33.5506064,"short_name":33.5506064},{"types":["longitude"],"long_name":-84.7606599,"short_name":-84.7606599},{"types":["debug_info","cache_load_result"],"long_name":"hit","short_name":"hit"}]</v>
      </c>
      <c r="K307" s="9" t="b">
        <f t="shared" ref="K307:K308" si="365">NOT(AND(NOT(_xlfn.ISFORMULA(P307)),AND(NOT(_xlfn.ISFORMULA(Q307)),AND(NOT(_xlfn.ISFORMULA(R307)),AND(NOT(_xlfn.ISFORMULA(S307)),AND(NOT(_xlfn.ISFORMULA(T307)),AND(NOT(_xlfn.ISFORMULA(U307)),AND(NOT(_xlfn.ISFORMULA(V307))))))))))</f>
        <v>1</v>
      </c>
      <c r="L307" s="8" t="b">
        <f t="shared" si="4"/>
        <v>0</v>
      </c>
      <c r="M307" s="10" t="b">
        <v>1</v>
      </c>
      <c r="N307" s="8">
        <f t="shared" ref="N307:N308" si="366">GOOGLEMAPS_GET_ADDRESS_LATITUDE(F307,true)</f>
        <v>33.5506064</v>
      </c>
      <c r="O307" s="8">
        <f t="shared" ref="O307:O308" si="367">GOOGLEMAPS_GET_ADDRESS_LONGITUDE(F307,true)</f>
        <v>-84.7606599</v>
      </c>
      <c r="P307" s="8" t="str">
        <f t="shared" ref="P307:P308" si="368">GOOGLEMAPS_GET_ADDRESS_CITY(F307,true,false)</f>
        <v>Chattahoochee Hills</v>
      </c>
      <c r="Q307" s="8" t="str">
        <f t="shared" ref="Q307:Q308" si="369">GOOGLEMAPS_GET_ADDRESS_STATE(F307,true,false)</f>
        <v>Georgia</v>
      </c>
      <c r="R307" s="8" t="str">
        <f t="shared" ref="R307:R308" si="370">GOOGLEMAPS_GET_ADDRESS_POSTAL_CODE(F307,false,false)</f>
        <v>30268</v>
      </c>
      <c r="S307" s="8" t="str">
        <f t="shared" ref="S307:S308" si="371">GOOGLEMAPS_GET_ADDRESS_COUNTRY(F307,true,false)</f>
        <v>United States</v>
      </c>
      <c r="T307" s="11">
        <f t="shared" ref="T307:T308" si="372">IFERROR(GOOGLEMAPS_DISTANCE("2116 4th Ave, Seattle, WA, 98121", F307, "driving")+0,"Not Driveable")</f>
        <v>2662.2398</v>
      </c>
      <c r="U307" s="12">
        <f t="shared" ref="U307:U308" si="373">iferror(GOOGLEMAPS_DURATION("2116 4th Ave, Seattle, WA, 98121", F307, "driving")+0,"Not Driveable")</f>
        <v>1.627673611</v>
      </c>
      <c r="V307" s="13">
        <f t="shared" ref="V307:V308" si="374">GOOGLEMAPS_DISTANCE("2116 4th Ave, Seattle, WA, 98121", F307, "flying")+0</f>
        <v>2170.334423</v>
      </c>
      <c r="W307" s="4"/>
      <c r="X307" s="4" t="str">
        <f t="shared" si="364"/>
        <v>N/A</v>
      </c>
      <c r="Y307" s="4"/>
      <c r="Z307" s="4" t="s">
        <v>38</v>
      </c>
      <c r="AA307" s="4"/>
      <c r="AB307" s="4" t="s">
        <v>1191</v>
      </c>
      <c r="AE307" s="4"/>
      <c r="AF307" s="14" t="s">
        <v>1192</v>
      </c>
    </row>
    <row r="308" hidden="1">
      <c r="A308" s="34" t="s">
        <v>930</v>
      </c>
      <c r="B308" s="4" t="s">
        <v>1193</v>
      </c>
      <c r="C308" s="4" t="s">
        <v>697</v>
      </c>
      <c r="D308" s="4"/>
      <c r="E308" s="3" t="s">
        <v>43</v>
      </c>
      <c r="F308" s="4" t="s">
        <v>1193</v>
      </c>
      <c r="G308" s="6" t="str">
        <f t="shared" si="1"/>
        <v>Link</v>
      </c>
      <c r="H308" s="3" t="s">
        <v>187</v>
      </c>
      <c r="I308" s="8" t="str">
        <f t="shared" si="2"/>
        <v>{"address_components":[{"short_name":"Woods Hole","types":["neighborhood","political"],"long_name":"Woods Hole"},{"types":["locality","political"],"long_name":"Falmouth","short_name":"Falmouth"},{"short_name":"Barnstable County","types":["administrative_area_level_2","political"],"long_name":"Barnstable County"},{"short_name":"MA","types":["administrative_area_level_1","political"],"long_name":"Massachusetts"},{"long_name":"United States","types":["country","political"],"short_name":"US"},{"short_name":"17","types":["street_number"],"long_name":"17"},{"long_name":"Albatross Street","types":["route"],"short_name":"Albatross St"},{"types":["neighborhood","political"],"short_name":"Woods Hole","long_name":"Woods Hole"},{"short_name":"Falmouth","long_name":"Falmouth","types":["locality","political"]},{"short_name":"Barnstable County","types":["administrative_area_level_2","political"],"long_name":"Barnstable County"},{"long_name":"Massachusetts","short_name":"MA","types":["administrative_area_level_1","political"]},{"types":["country","political"],"long_name":"United States","short_name":"US"},{"long_name":"02543","short_name":"02543","types":["postal_code"]},{"short_name":"1040","long_name":"1040","types":["postal_code_suffix"]},{"types":["latitude"],"long_name":41.5264977,"short_name":41.5264977},{"types":["longitude"],"long_name":-70.6730857,"short_name":-70.6730857}],"duration_from":{"days":{"driving":{"2116 4th Ave, Seattle, WA, 98121":1.8930092592592593}}},"distance_from":{"mi":{"flying":{"2116 4th Ave, Seattle, WA, 98121":2529.6792473933415},"driving":{"2116 4th Ave, Seattle, WA, 98121":3102.7868567238747}}}}</v>
      </c>
      <c r="J308" s="8" t="str">
        <f t="shared" si="3"/>
        <v>[{"short_name":"Woods Hole","types":["neighborhood","political"],"long_name":"Woods Hole"},{"types":["locality","political"],"long_name":"Falmouth","short_name":"Falmouth"},{"short_name":"Barnstable County","types":["administrative_area_level_2","political"],"long_name":"Barnstable County"},{"short_name":"MA","types":["administrative_area_level_1","political"],"long_name":"Massachusetts"},{"long_name":"United States","types":["country","political"],"short_name":"US"},{"short_name":"17","types":["street_number"],"long_name":"17"},{"long_name":"Albatross Street","types":["route"],"short_name":"Albatross St"},{"types":["neighborhood","political"],"short_name":"Woods Hole","long_name":"Woods Hole"},{"short_name":"Falmouth","long_name":"Falmouth","types":["locality","political"]},{"short_name":"Barnstable County","types":["administrative_area_level_2","political"],"long_name":"Barnstable County"},{"long_name":"Massachusetts","short_name":"MA","types":["administrative_area_level_1","political"]},{"types":["country","political"],"long_name":"United States","short_name":"US"},{"long_name":"02543","short_name":"02543","types":["postal_code"]},{"short_name":"1040","long_name":"1040","types":["postal_code_suffix"]},{"types":["latitude"],"long_name":41.5264977,"short_name":41.5264977},{"types":["longitude"],"long_name":-70.6730857,"short_name":-70.6730857},{"types":["debug_info","cache_load_result"],"long_name":"hit","short_name":"hit"}]</v>
      </c>
      <c r="K308" s="9" t="b">
        <f t="shared" si="365"/>
        <v>1</v>
      </c>
      <c r="L308" s="8" t="b">
        <f t="shared" si="4"/>
        <v>0</v>
      </c>
      <c r="M308" s="10" t="b">
        <v>1</v>
      </c>
      <c r="N308" s="8">
        <f t="shared" si="366"/>
        <v>41.5264977</v>
      </c>
      <c r="O308" s="8">
        <f t="shared" si="367"/>
        <v>-70.6730857</v>
      </c>
      <c r="P308" s="8" t="str">
        <f t="shared" si="368"/>
        <v>Falmouth</v>
      </c>
      <c r="Q308" s="8" t="str">
        <f t="shared" si="369"/>
        <v>Massachusetts</v>
      </c>
      <c r="R308" s="8" t="str">
        <f t="shared" si="370"/>
        <v>02543</v>
      </c>
      <c r="S308" s="8" t="str">
        <f t="shared" si="371"/>
        <v>United States</v>
      </c>
      <c r="T308" s="11">
        <f t="shared" si="372"/>
        <v>3102.786857</v>
      </c>
      <c r="U308" s="12">
        <f t="shared" si="373"/>
        <v>1.893009259</v>
      </c>
      <c r="V308" s="13">
        <f t="shared" si="374"/>
        <v>2529.679247</v>
      </c>
      <c r="W308" s="4"/>
      <c r="X308" s="4" t="str">
        <f t="shared" si="364"/>
        <v>N/A</v>
      </c>
      <c r="Y308" s="4"/>
      <c r="Z308" s="4" t="s">
        <v>38</v>
      </c>
      <c r="AA308" s="4"/>
      <c r="AB308" s="4" t="s">
        <v>1194</v>
      </c>
      <c r="AE308" s="4"/>
      <c r="AF308" s="14" t="s">
        <v>1195</v>
      </c>
    </row>
    <row r="309" hidden="1">
      <c r="A309" s="34" t="s">
        <v>930</v>
      </c>
      <c r="B309" s="4" t="s">
        <v>1196</v>
      </c>
      <c r="C309" s="4"/>
      <c r="D309" s="4"/>
      <c r="E309" s="3" t="s">
        <v>43</v>
      </c>
      <c r="F309" s="4" t="s">
        <v>1197</v>
      </c>
      <c r="G309" s="6" t="str">
        <f t="shared" si="1"/>
        <v>Link</v>
      </c>
      <c r="H309" s="3" t="s">
        <v>45</v>
      </c>
      <c r="I309" s="8" t="str">
        <f t="shared" si="2"/>
        <v>{"address_components":[{"long_name":"Philipsburg","types":["locality","political"],"short_name":"Philipsburg"},{"long_name":"Granite County","types":["administrative_area_level_2","political"],"short_name":"Granite County"},{"long_name":"Montana","types":["administrative_area_level_1","political"],"short_name":"MT"},{"types":["country","political"],"short_name":"US","long_name":"United States"},{"short_name":"59858","types":["postal_code"],"long_name":"59858"},{"short_name":"101","types":["street_number"],"long_name":"101"},{"long_name":"West Broadway Street","short_name":"W Broadway St","types":["route"]},{"long_name":"Philipsburg","types":["locality","political"],"short_name":"Philipsburg"},{"long_name":"Granite County","types":["administrative_area_level_2","political"],"short_name":"Granite County"},{"short_name":"MT","long_name":"Montana","types":["administrative_area_level_1","political"]},{"types":["country","political"],"short_name":"US","long_name":"United States"},{"long_name":"59858","types":["postal_code"],"short_name":"59858"},{"types":["latitude"],"long_name":46.332506,"short_name":46.332506},{"types":["longitude"],"long_name":-113.2944165,"short_name":-113.2944165}]}</v>
      </c>
      <c r="J309" s="8" t="str">
        <f t="shared" si="3"/>
        <v>[{"long_name":"Philipsburg","types":["locality","political"],"short_name":"Philipsburg"},{"long_name":"Granite County","types":["administrative_area_level_2","political"],"short_name":"Granite County"},{"long_name":"Montana","types":["administrative_area_level_1","political"],"short_name":"MT"},{"types":["country","political"],"short_name":"US","long_name":"United States"},{"short_name":"59858","types":["postal_code"],"long_name":"59858"},{"short_name":"101","types":["street_number"],"long_name":"101"},{"long_name":"West Broadway Street","short_name":"W Broadway St","types":["route"]},{"long_name":"Philipsburg","types":["locality","political"],"short_name":"Philipsburg"},{"long_name":"Granite County","types":["administrative_area_level_2","political"],"short_name":"Granite County"},{"short_name":"MT","long_name":"Montana","types":["administrative_area_level_1","political"]},{"types":["country","political"],"short_name":"US","long_name":"United States"},{"long_name":"59858","types":["postal_code"],"short_name":"59858"},{"types":["latitude"],"long_name":46.332506,"short_name":46.332506},{"types":["longitude"],"long_name":-113.2944165,"short_name":-113.2944165},{"types":["debug_info","cache_load_result"],"long_name":"hit","short_name":"hit"}]</v>
      </c>
      <c r="K309" s="9" t="b">
        <f>NOT(AND(NOT(_xlfn.ISFORMULA(P309)),AND(NOT(_xlfn.ISFORMULA(Q309)),AND(NOT(_xlfn.ISFORMULA(R309)),AND(NOT(_xlfn.ISFORMULA(S309)),AND(NOT(_xlfn.ISFORMULA(T309)),AND(NOT(_xlfn.ISFORMULA(U309)),AND(NOT(_xlfn.ISFORMULA(V309)),AND(NOT(_xlfn.ISFORMULA(N309)),NOT(_xlfn.ISFORMULA(O309)))))))))))</f>
        <v>0</v>
      </c>
      <c r="L309" s="8" t="b">
        <f t="shared" si="4"/>
        <v>1</v>
      </c>
      <c r="M309" s="10" t="b">
        <v>1</v>
      </c>
      <c r="N309" s="10">
        <v>46.3171022</v>
      </c>
      <c r="O309" s="10">
        <v>-113.2481928</v>
      </c>
      <c r="P309" s="10" t="s">
        <v>1198</v>
      </c>
      <c r="Q309" s="10" t="s">
        <v>593</v>
      </c>
      <c r="R309" s="10">
        <v>59858.0</v>
      </c>
      <c r="S309" s="10" t="s">
        <v>47</v>
      </c>
      <c r="T309" s="19">
        <v>554.6</v>
      </c>
      <c r="U309" s="32">
        <v>0.3723032407407407</v>
      </c>
      <c r="V309" s="18">
        <v>437.77</v>
      </c>
      <c r="X309" s="4" t="str">
        <f t="shared" si="364"/>
        <v>N/A</v>
      </c>
      <c r="Z309" s="4" t="s">
        <v>38</v>
      </c>
    </row>
    <row r="310">
      <c r="A310" s="34" t="s">
        <v>930</v>
      </c>
      <c r="B310" s="4" t="s">
        <v>1199</v>
      </c>
      <c r="C310" s="4"/>
      <c r="D310" s="4"/>
      <c r="E310" s="3" t="s">
        <v>43</v>
      </c>
      <c r="F310" s="4" t="s">
        <v>1200</v>
      </c>
      <c r="G310" s="6" t="str">
        <f t="shared" si="1"/>
        <v>Link</v>
      </c>
      <c r="H310" s="3" t="s">
        <v>323</v>
      </c>
      <c r="I310" s="8" t="str">
        <f t="shared" si="2"/>
        <v>{"address_components":[{"long_name":"Satsop","short_name":"Satsop","types":["locality","political"]},{"long_name":"Grays Harbor County","short_name":"Grays Harbor County","types":["administrative_area_level_2","political"]},{"types":["administrative_area_level_1","political"],"long_name":"Washington","short_name":"WA"},{"short_name":"US","types":["country","political"],"long_name":"United States"},{"long_name":"98541","short_name":"98541","types":["postal_code"]},{"long_name":"829","types":["street_number"],"short_name":"829"},{"types":["route"],"long_name":"Monte Elma Road","short_name":"Monte Elma Rd"},{"long_name":"Elma","short_name":"Elma","types":["locality","political"]},{"short_name":"Grays Harbor County","long_name":"Grays Harbor County","types":["administrative_area_level_2","political"]},{"long_name":"Washington","types":["administrative_area_level_1","political"],"short_name":"WA"},{"long_name":"United States","short_name":"US","types":["country","political"]},{"long_name":"98541","short_name":"98541","types":["postal_code"]},{"types":["latitude"],"long_name":47.0031512,"short_name":47.0031512},{"types":["longitude"],"long_name":-123.4834945,"short_name":-123.4834945}],"duration_from":{"days":{"driving":{"2116 4th Ave, Seattle, WA, 98121":0.0671412037037037}}},"distance_from":{"mi":{"flying":{"2116 4th Ave, Seattle, WA, 98121":68.15278312848746},"driving":{"2116 4th Ave, Seattle, WA, 98121":93.46626567412729}}}}</v>
      </c>
      <c r="J310" s="8" t="str">
        <f t="shared" si="3"/>
        <v>[{"long_name":"Satsop","short_name":"Satsop","types":["locality","political"]},{"long_name":"Grays Harbor County","short_name":"Grays Harbor County","types":["administrative_area_level_2","political"]},{"types":["administrative_area_level_1","political"],"long_name":"Washington","short_name":"WA"},{"short_name":"US","types":["country","political"],"long_name":"United States"},{"long_name":"98541","short_name":"98541","types":["postal_code"]},{"long_name":"829","types":["street_number"],"short_name":"829"},{"types":["route"],"long_name":"Monte Elma Road","short_name":"Monte Elma Rd"},{"long_name":"Elma","short_name":"Elma","types":["locality","political"]},{"short_name":"Grays Harbor County","long_name":"Grays Harbor County","types":["administrative_area_level_2","political"]},{"long_name":"Washington","types":["administrative_area_level_1","political"],"short_name":"WA"},{"long_name":"United States","short_name":"US","types":["country","political"]},{"long_name":"98541","short_name":"98541","types":["postal_code"]},{"types":["latitude"],"long_name":47.0031512,"short_name":47.0031512},{"types":["longitude"],"long_name":-123.4834945,"short_name":-123.4834945},{"types":["debug_info","cache_load_result"],"long_name":"hit","short_name":"hit"}]</v>
      </c>
      <c r="K310" s="9" t="b">
        <f>NOT(AND(NOT(_xlfn.ISFORMULA(P310)),AND(NOT(_xlfn.ISFORMULA(Q310)),AND(NOT(_xlfn.ISFORMULA(R310)),AND(NOT(_xlfn.ISFORMULA(S310)),AND(NOT(_xlfn.ISFORMULA(T310)),AND(NOT(_xlfn.ISFORMULA(U310)),AND(NOT(_xlfn.ISFORMULA(V310))))))))))</f>
        <v>1</v>
      </c>
      <c r="L310" s="8" t="b">
        <f t="shared" si="4"/>
        <v>1</v>
      </c>
      <c r="M310" s="10" t="b">
        <v>1</v>
      </c>
      <c r="N310" s="8">
        <f>GOOGLEMAPS_GET_ADDRESS_LATITUDE(F310,true)</f>
        <v>47.0031512</v>
      </c>
      <c r="O310" s="8">
        <f>GOOGLEMAPS_GET_ADDRESS_LONGITUDE(F310,true)</f>
        <v>-123.4834945</v>
      </c>
      <c r="P310" s="8" t="str">
        <f>GOOGLEMAPS_GET_ADDRESS_CITY(F310,true,false)</f>
        <v>Satsop</v>
      </c>
      <c r="Q310" s="8" t="str">
        <f>GOOGLEMAPS_GET_ADDRESS_STATE(F310,true,false)</f>
        <v>Washington</v>
      </c>
      <c r="R310" s="8" t="str">
        <f>GOOGLEMAPS_GET_ADDRESS_POSTAL_CODE(F310,false,false)</f>
        <v>98541</v>
      </c>
      <c r="S310" s="8" t="str">
        <f>GOOGLEMAPS_GET_ADDRESS_COUNTRY(F310,true,false)</f>
        <v>United States</v>
      </c>
      <c r="T310" s="11">
        <f>IFERROR(GOOGLEMAPS_DISTANCE("2116 4th Ave, Seattle, WA, 98121", F310, "driving")+0,"Not Driveable")</f>
        <v>93.46626567</v>
      </c>
      <c r="U310" s="12">
        <f>iferror(GOOGLEMAPS_DURATION("2116 4th Ave, Seattle, WA, 98121", F310, "driving")+0,"Not Driveable")</f>
        <v>0.0671412037</v>
      </c>
      <c r="V310" s="13">
        <f>GOOGLEMAPS_DISTANCE("2116 4th Ave, Seattle, WA, 98121", F310, "flying")+0</f>
        <v>68.15278313</v>
      </c>
      <c r="W310" s="4"/>
      <c r="X310" s="4" t="str">
        <f t="shared" si="364"/>
        <v>N/A</v>
      </c>
      <c r="Y310" s="4"/>
      <c r="Z310" s="4" t="s">
        <v>38</v>
      </c>
      <c r="AA310" s="4"/>
      <c r="AB310" s="14" t="s">
        <v>1201</v>
      </c>
      <c r="AC310" s="14" t="s">
        <v>348</v>
      </c>
      <c r="AD310" s="4"/>
    </row>
    <row r="311" hidden="1">
      <c r="A311" s="34" t="s">
        <v>930</v>
      </c>
      <c r="B311" s="4" t="s">
        <v>1202</v>
      </c>
      <c r="C311" s="4" t="s">
        <v>1203</v>
      </c>
      <c r="D311" s="4"/>
      <c r="E311" s="3" t="s">
        <v>43</v>
      </c>
      <c r="F311" s="4" t="s">
        <v>1204</v>
      </c>
      <c r="G311" s="6" t="str">
        <f t="shared" si="1"/>
        <v>Link</v>
      </c>
      <c r="H311" s="3" t="s">
        <v>120</v>
      </c>
      <c r="I311" s="8" t="str">
        <f t="shared" si="2"/>
        <v>{"address_components":[{"types":["locality","political"],"long_name":"Mountain Home","short_name":"Mountain Home"},{"long_name":"Elmore County","short_name":"Elmore County","types":["administrative_area_level_2","political"]},{"long_name":"Idaho","short_name":"ID","types":["administrative_area_level_1","political"]},{"long_name":"United States","short_name":"US","types":["country","political"]},{"long_name":"83647","short_name":"83647","types":["postal_code"]},{"long_name":"401","short_name":"401","types":["street_number"]},{"long_name":"East 2nd North Street","short_name":"E 2nd N St","types":["route"]},{"long_name":"Mountain Home","short_name":"Mountain Home","types":["locality","political"]},{"long_name":"Elmore County","short_name":"Elmore County","types":["administrative_area_level_2","political"]},{"long_name":"Idaho","short_name":"ID","types":["administrative_area_level_1","political"]},{"long_name":"United States","short_name":"US","types":["country","political"]},{"long_name":"83647","short_name":"83647","types":["postal_code"]},{"types":["latitude"],"long_name":43.1329504,"short_name":43.1329504},{"types":["longitude"],"long_name":-115.6911975,"short_name":-115.6911975}]}</v>
      </c>
      <c r="J311" s="8" t="str">
        <f t="shared" si="3"/>
        <v>[{"types":["locality","political"],"long_name":"Mountain Home","short_name":"Mountain Home"},{"long_name":"Elmore County","short_name":"Elmore County","types":["administrative_area_level_2","political"]},{"long_name":"Idaho","short_name":"ID","types":["administrative_area_level_1","political"]},{"long_name":"United States","short_name":"US","types":["country","political"]},{"long_name":"83647","short_name":"83647","types":["postal_code"]},{"long_name":"401","short_name":"401","types":["street_number"]},{"long_name":"East 2nd North Street","short_name":"E 2nd N St","types":["route"]},{"long_name":"Mountain Home","short_name":"Mountain Home","types":["locality","political"]},{"long_name":"Elmore County","short_name":"Elmore County","types":["administrative_area_level_2","political"]},{"long_name":"Idaho","short_name":"ID","types":["administrative_area_level_1","political"]},{"long_name":"United States","short_name":"US","types":["country","political"]},{"long_name":"83647","short_name":"83647","types":["postal_code"]},{"types":["latitude"],"long_name":43.1329504,"short_name":43.1329504},{"types":["longitude"],"long_name":-115.6911975,"short_name":-115.6911975},{"types":["debug_info","cache_load_result"],"long_name":"hit","short_name":"hit"}]</v>
      </c>
      <c r="K311" s="9" t="b">
        <f t="shared" ref="K311:K312" si="375">NOT(AND(NOT(_xlfn.ISFORMULA(P311)),AND(NOT(_xlfn.ISFORMULA(Q311)),AND(NOT(_xlfn.ISFORMULA(R311)),AND(NOT(_xlfn.ISFORMULA(S311)),AND(NOT(_xlfn.ISFORMULA(T311)),AND(NOT(_xlfn.ISFORMULA(U311)),AND(NOT(_xlfn.ISFORMULA(V311)),AND(NOT(_xlfn.ISFORMULA(N311)),NOT(_xlfn.ISFORMULA(O311)))))))))))</f>
        <v>0</v>
      </c>
      <c r="L311" s="8" t="b">
        <f t="shared" si="4"/>
        <v>1</v>
      </c>
      <c r="M311" s="15" t="b">
        <v>1</v>
      </c>
      <c r="N311" s="10">
        <v>43.1329504</v>
      </c>
      <c r="O311" s="10">
        <v>-115.6911975</v>
      </c>
      <c r="P311" s="10" t="s">
        <v>1205</v>
      </c>
      <c r="Q311" s="10" t="s">
        <v>555</v>
      </c>
      <c r="R311" s="10">
        <v>83647.0</v>
      </c>
      <c r="S311" s="10" t="s">
        <v>47</v>
      </c>
      <c r="T311" s="19">
        <v>543.8</v>
      </c>
      <c r="U311" s="32">
        <v>0.36412037037037037</v>
      </c>
      <c r="V311" s="18">
        <v>446.98</v>
      </c>
      <c r="X311" s="4" t="str">
        <f t="shared" si="364"/>
        <v>N/A</v>
      </c>
      <c r="Z311" s="4" t="s">
        <v>38</v>
      </c>
      <c r="AB311" s="14" t="s">
        <v>1206</v>
      </c>
    </row>
    <row r="312" hidden="1">
      <c r="A312" s="34" t="s">
        <v>930</v>
      </c>
      <c r="B312" s="4" t="s">
        <v>1207</v>
      </c>
      <c r="C312" s="4"/>
      <c r="D312" s="4"/>
      <c r="E312" s="3" t="s">
        <v>43</v>
      </c>
      <c r="F312" s="4" t="s">
        <v>1208</v>
      </c>
      <c r="G312" s="6" t="str">
        <f t="shared" si="1"/>
        <v>Link</v>
      </c>
      <c r="H312" s="3" t="s">
        <v>219</v>
      </c>
      <c r="I312" s="8" t="str">
        <f t="shared" si="2"/>
        <v>{"address_components":[{"long_name":"31581","short_name":"31581","types":["street_number"]},{"long_name":"South Orchard Access Road","short_name":"S Orchard Access Rd","types":["route"]},{"long_name":"Boise","short_name":"Boise","types":["locality","political"]},{"long_name":"Ada County","short_name":"Ada County","types":["administrative_area_level_2","political"]},{"long_name":"Idaho","short_name":"ID","types":["administrative_area_level_1","political"]},{"long_name":"United States","short_name":"US","types":["country","political"]},{"long_name":"83716","short_name":"83716","types":["postal_code"]},{"long_name":"31681","short_name":"31681","types":["street_number"]},{"long_name":"South Orchard Access Road","short_name":"S Orchard Access Rd","types":["route"]},{"long_name":"Boise","short_name":"Boise","types":["locality","political"]},{"long_name":"Ada County","short_name":"Ada County","types":["administrative_area_level_2","political"]},{"long_name":"Idaho","short_name":"ID","types":["administrative_area_level_1","political"]},{"long_name":"United States","short_name":"US","types":["country","political"]},{"long_name":"83716","short_name":"83716","types":["postal_code"]},{"long_name":"5080","short_name":"5080","types":["postal_code_suffix"]},{"types":["latitude"],"long_name":43.3133884,"short_name":43.3133884},{"types":["longitude"],"long_name":-116.0280577,"short_name":-116.0280577}]}</v>
      </c>
      <c r="J312" s="8" t="str">
        <f t="shared" si="3"/>
        <v>[{"long_name":"31581","short_name":"31581","types":["street_number"]},{"long_name":"South Orchard Access Road","short_name":"S Orchard Access Rd","types":["route"]},{"long_name":"Boise","short_name":"Boise","types":["locality","political"]},{"long_name":"Ada County","short_name":"Ada County","types":["administrative_area_level_2","political"]},{"long_name":"Idaho","short_name":"ID","types":["administrative_area_level_1","political"]},{"long_name":"United States","short_name":"US","types":["country","political"]},{"long_name":"83716","short_name":"83716","types":["postal_code"]},{"long_name":"31681","short_name":"31681","types":["street_number"]},{"long_name":"South Orchard Access Road","short_name":"S Orchard Access Rd","types":["route"]},{"long_name":"Boise","short_name":"Boise","types":["locality","political"]},{"long_name":"Ada County","short_name":"Ada County","types":["administrative_area_level_2","political"]},{"long_name":"Idaho","short_name":"ID","types":["administrative_area_level_1","political"]},{"long_name":"United States","short_name":"US","types":["country","political"]},{"long_name":"83716","short_name":"83716","types":["postal_code"]},{"long_name":"5080","short_name":"5080","types":["postal_code_suffix"]},{"types":["latitude"],"long_name":43.3133884,"short_name":43.3133884},{"types":["longitude"],"long_name":-116.0280577,"short_name":-116.0280577},{"types":["debug_info","cache_load_result"],"long_name":"hit","short_name":"hit"}]</v>
      </c>
      <c r="K312" s="9" t="b">
        <f t="shared" si="375"/>
        <v>0</v>
      </c>
      <c r="L312" s="8" t="b">
        <f t="shared" si="4"/>
        <v>1</v>
      </c>
      <c r="M312" s="10" t="b">
        <v>1</v>
      </c>
      <c r="N312" s="10">
        <v>43.3134018</v>
      </c>
      <c r="O312" s="10">
        <v>-116.0280252</v>
      </c>
      <c r="P312" s="10" t="s">
        <v>1209</v>
      </c>
      <c r="Q312" s="10" t="s">
        <v>555</v>
      </c>
      <c r="R312" s="10">
        <v>83716.0</v>
      </c>
      <c r="S312" s="10" t="s">
        <v>47</v>
      </c>
      <c r="T312" s="19">
        <v>517.6</v>
      </c>
      <c r="U312" s="32">
        <v>0.3460648148148148</v>
      </c>
      <c r="V312" s="18">
        <v>426.25</v>
      </c>
      <c r="X312" s="4" t="str">
        <f t="shared" si="364"/>
        <v>N/A</v>
      </c>
      <c r="Z312" s="4" t="s">
        <v>38</v>
      </c>
    </row>
    <row r="313" hidden="1">
      <c r="A313" s="34" t="s">
        <v>930</v>
      </c>
      <c r="B313" s="4" t="s">
        <v>1210</v>
      </c>
      <c r="C313" s="4" t="s">
        <v>1211</v>
      </c>
      <c r="D313" s="4"/>
      <c r="E313" s="3" t="s">
        <v>43</v>
      </c>
      <c r="F313" s="4" t="s">
        <v>1210</v>
      </c>
      <c r="G313" s="6" t="str">
        <f t="shared" si="1"/>
        <v>Link</v>
      </c>
      <c r="H313" s="3" t="s">
        <v>219</v>
      </c>
      <c r="I313" s="8" t="str">
        <f t="shared" si="2"/>
        <v>{"duration_from":{"days":{"driving":{"2116 4th Ave, Seattle, WA, 98121":1.108136574074074}}},"address_components":[{"long_name":"Interstate 70","short_name":"I-70","types":["route"]},{"long_name":"United States","short_name":"US","types":["country","political"]},{"short_name":"77","long_name":"77","types":["street_number"]},{"long_name":"Interstate 70","short_name":"I-70","types":["route"]},{"short_name":"Armourdale","types":["neighborhood","political"],"long_name":"Armourdale"},{"types":["locality","political"],"long_name":"Kansas City","short_name":"Kansas City"},{"long_name":"Wyandotte County","short_name":"Wyandotte County","types":["administrative_area_level_2","political"]},{"long_name":"Kansas","short_name":"KS","types":["administrative_area_level_1","political"]},{"long_name":"United States","short_name":"US","types":["country","political"]},{"long_name":"66101","types":["postal_code"],"short_name":"66101"},{"types":["latitude"],"long_name":39.1139719,"short_name":39.1139719},{"types":["longitude"],"long_name":-94.6164971,"short_name":-94.6164971}],"distance_from":{"mi":{"flying":{"2116 4th Ave, Seattle, WA, 98121":1501.1364907353325},"driving":{"2116 4th Ave, Seattle, WA, 98121":1836.1701070003853}}}}</v>
      </c>
      <c r="J313" s="8" t="str">
        <f t="shared" si="3"/>
        <v>[{"long_name":"Interstate 70","short_name":"I-70","types":["route"]},{"long_name":"United States","short_name":"US","types":["country","political"]},{"short_name":"77","long_name":"77","types":["street_number"]},{"long_name":"Interstate 70","short_name":"I-70","types":["route"]},{"short_name":"Armourdale","types":["neighborhood","political"],"long_name":"Armourdale"},{"types":["locality","political"],"long_name":"Kansas City","short_name":"Kansas City"},{"long_name":"Wyandotte County","short_name":"Wyandotte County","types":["administrative_area_level_2","political"]},{"long_name":"Kansas","short_name":"KS","types":["administrative_area_level_1","political"]},{"long_name":"United States","short_name":"US","types":["country","political"]},{"long_name":"66101","types":["postal_code"],"short_name":"66101"},{"types":["latitude"],"long_name":39.1139719,"short_name":39.1139719},{"types":["longitude"],"long_name":-94.6164971,"short_name":-94.6164971},{"types":["debug_info","cache_load_result"],"long_name":"hit","short_name":"hit"}]</v>
      </c>
      <c r="K313" s="9" t="b">
        <f>NOT(AND(NOT(_xlfn.ISFORMULA(P313)),AND(NOT(_xlfn.ISFORMULA(Q313)),AND(NOT(_xlfn.ISFORMULA(R313)),AND(NOT(_xlfn.ISFORMULA(S313)),AND(NOT(_xlfn.ISFORMULA(T313)),AND(NOT(_xlfn.ISFORMULA(U313)),AND(NOT(_xlfn.ISFORMULA(V313))))))))))</f>
        <v>1</v>
      </c>
      <c r="L313" s="8" t="b">
        <f t="shared" si="4"/>
        <v>0</v>
      </c>
      <c r="M313" s="10" t="b">
        <v>1</v>
      </c>
      <c r="N313" s="8">
        <f>GOOGLEMAPS_GET_ADDRESS_LATITUDE(F313,true)</f>
        <v>39.1139719</v>
      </c>
      <c r="O313" s="8">
        <f>GOOGLEMAPS_GET_ADDRESS_LONGITUDE(F313,true)</f>
        <v>-94.6164971</v>
      </c>
      <c r="P313" s="8" t="str">
        <f>GOOGLEMAPS_GET_ADDRESS_CITY(F313,true,false)</f>
        <v>Kansas City</v>
      </c>
      <c r="Q313" s="8" t="str">
        <f>GOOGLEMAPS_GET_ADDRESS_STATE(F313,true,false)</f>
        <v>Kansas</v>
      </c>
      <c r="R313" s="8" t="str">
        <f>GOOGLEMAPS_GET_ADDRESS_POSTAL_CODE(F313,false,false)</f>
        <v>66101</v>
      </c>
      <c r="S313" s="8" t="str">
        <f>GOOGLEMAPS_GET_ADDRESS_COUNTRY(F313,true,false)</f>
        <v>United States</v>
      </c>
      <c r="T313" s="11">
        <f>IFERROR(GOOGLEMAPS_DISTANCE("2116 4th Ave, Seattle, WA, 98121", F313, "driving")+0,"Not Driveable")</f>
        <v>1836.170107</v>
      </c>
      <c r="U313" s="12">
        <f>iferror(GOOGLEMAPS_DURATION("2116 4th Ave, Seattle, WA, 98121", F313, "driving")+0,"Not Driveable")</f>
        <v>1.108136574</v>
      </c>
      <c r="V313" s="13">
        <f>GOOGLEMAPS_DISTANCE("2116 4th Ave, Seattle, WA, 98121", F313, "flying")+0</f>
        <v>1501.136491</v>
      </c>
      <c r="X313" s="4" t="str">
        <f t="shared" si="364"/>
        <v>N/A</v>
      </c>
      <c r="Y313" s="4"/>
      <c r="Z313" s="4" t="s">
        <v>38</v>
      </c>
    </row>
    <row r="314" hidden="1">
      <c r="A314" s="34" t="s">
        <v>930</v>
      </c>
      <c r="B314" s="4" t="s">
        <v>1212</v>
      </c>
      <c r="C314" s="4"/>
      <c r="D314" s="4"/>
      <c r="E314" s="3" t="s">
        <v>43</v>
      </c>
      <c r="F314" s="4" t="s">
        <v>1213</v>
      </c>
      <c r="G314" s="6" t="str">
        <f t="shared" si="1"/>
        <v>Link</v>
      </c>
      <c r="H314" s="3" t="s">
        <v>1214</v>
      </c>
      <c r="I314" s="8" t="str">
        <f t="shared" si="2"/>
        <v>{"address_components":[{"long_name":"Point Defiance Park","short_name":"Point Defiance Park","types":["establishment","park","point_of_interest","tourist_attraction"]},{"types":["street_number"],"long_name":"5400","short_name":"5400"},{"types":["route"],"short_name":"N Pearl St","long_name":"North Pearl Street"},{"types":["locality","political"],"long_name":"Tacoma","short_name":"Tacoma"},{"short_name":"Pierce County","types":["administrative_area_level_2","political"],"long_name":"Pierce County"},{"long_name":"Washington","types":["administrative_area_level_1","political"],"short_name":"WA"},{"short_name":"US","long_name":"United States","types":["country","political"]},{"long_name":"98407","short_name":"98407","types":["postal_code"]},{"long_name":"Point Defiance Park","types":["establishment","park","point_of_interest","tourist_attraction"],"short_name":"Point Defiance Park"},{"short_name":"5400","types":["street_number"],"long_name":"5400"},{"types":["route"],"long_name":"North Pearl Street","short_name":"N Pearl St"},{"long_name":"Tacoma","short_name":"Tacoma","types":["locality","political"]},{"long_name":"Pierce County","short_name":"Pierce County","types":["administrative_area_level_2","political"]},{"long_name":"Washington","types":["administrative_area_level_1","political"],"short_name":"WA"},{"long_name":"United States","short_name":"US","types":["country","political"]},{"short_name":"98407","types":["postal_code"],"long_name":"98407"},{"types":["latitude"],"long_name":47.306988,"short_name":47.306988},{"types":["longitude"],"long_name":-122.5263212,"short_name":-122.5263212}]}</v>
      </c>
      <c r="J314" s="8" t="str">
        <f t="shared" si="3"/>
        <v>[{"long_name":"Point Defiance Park","short_name":"Point Defiance Park","types":["establishment","park","point_of_interest","tourist_attraction"]},{"types":["street_number"],"long_name":"5400","short_name":"5400"},{"types":["route"],"short_name":"N Pearl St","long_name":"North Pearl Street"},{"types":["locality","political"],"long_name":"Tacoma","short_name":"Tacoma"},{"short_name":"Pierce County","types":["administrative_area_level_2","political"],"long_name":"Pierce County"},{"long_name":"Washington","types":["administrative_area_level_1","political"],"short_name":"WA"},{"short_name":"US","long_name":"United States","types":["country","political"]},{"long_name":"98407","short_name":"98407","types":["postal_code"]},{"long_name":"Point Defiance Park","types":["establishment","park","point_of_interest","tourist_attraction"],"short_name":"Point Defiance Park"},{"short_name":"5400","types":["street_number"],"long_name":"5400"},{"types":["route"],"long_name":"North Pearl Street","short_name":"N Pearl St"},{"long_name":"Tacoma","short_name":"Tacoma","types":["locality","political"]},{"long_name":"Pierce County","short_name":"Pierce County","types":["administrative_area_level_2","political"]},{"long_name":"Washington","types":["administrative_area_level_1","political"],"short_name":"WA"},{"long_name":"United States","short_name":"US","types":["country","political"]},{"short_name":"98407","types":["postal_code"],"long_name":"98407"},{"types":["latitude"],"long_name":47.306988,"short_name":47.306988},{"types":["longitude"],"long_name":-122.5263212,"short_name":-122.5263212},{"types":["debug_info","cache_load_result"],"long_name":"hit","short_name":"hit"}]</v>
      </c>
      <c r="K314" s="9" t="b">
        <f>NOT(AND(NOT(_xlfn.ISFORMULA(P314)),AND(NOT(_xlfn.ISFORMULA(Q314)),AND(NOT(_xlfn.ISFORMULA(R314)),AND(NOT(_xlfn.ISFORMULA(S314)),AND(NOT(_xlfn.ISFORMULA(T314)),AND(NOT(_xlfn.ISFORMULA(U314)),AND(NOT(_xlfn.ISFORMULA(V314)),AND(NOT(_xlfn.ISFORMULA(N314)),NOT(_xlfn.ISFORMULA(O314)))))))))))</f>
        <v>0</v>
      </c>
      <c r="L314" s="8" t="b">
        <f t="shared" si="4"/>
        <v>1</v>
      </c>
      <c r="M314" s="10" t="b">
        <v>1</v>
      </c>
      <c r="N314" s="10">
        <v>47.3040647</v>
      </c>
      <c r="O314" s="10">
        <v>-122.5177233</v>
      </c>
      <c r="P314" s="10" t="s">
        <v>1215</v>
      </c>
      <c r="Q314" s="10" t="s">
        <v>193</v>
      </c>
      <c r="R314" s="10">
        <v>98407.0</v>
      </c>
      <c r="S314" s="10" t="s">
        <v>47</v>
      </c>
      <c r="T314" s="19">
        <v>39.8</v>
      </c>
      <c r="U314" s="32">
        <v>0.037395833333333336</v>
      </c>
      <c r="V314" s="18">
        <v>22.96</v>
      </c>
      <c r="W314" s="4"/>
      <c r="X314" s="4" t="str">
        <f t="shared" si="364"/>
        <v>N/A</v>
      </c>
      <c r="Y314" s="4"/>
      <c r="Z314" s="4" t="s">
        <v>38</v>
      </c>
    </row>
    <row r="315" hidden="1">
      <c r="A315" s="34" t="s">
        <v>930</v>
      </c>
      <c r="B315" s="4" t="s">
        <v>1216</v>
      </c>
      <c r="C315" s="4"/>
      <c r="D315" s="4"/>
      <c r="E315" s="3" t="s">
        <v>43</v>
      </c>
      <c r="F315" s="4" t="s">
        <v>1216</v>
      </c>
      <c r="G315" s="6" t="str">
        <f t="shared" si="1"/>
        <v>Link</v>
      </c>
      <c r="H315" s="3" t="s">
        <v>684</v>
      </c>
      <c r="I315" s="8" t="str">
        <f t="shared" si="2"/>
        <v>{"duration_from":{"days":{"driving":{"2116 4th Ave, Seattle, WA, 98121":0.1445949074074074}}},"address_components":[{"long_name":"Peter Iredale Road","short_name":"Peter Iredale Rd","types":["route"]},{"types":["neighborhood","political"],"long_name":"Hammond","short_name":"Hammond"},{"long_name":"Warrenton","types":["locality","political"],"short_name":"Warrenton"},{"long_name":"Clatsop County","short_name":"Clatsop County","types":["administrative_area_level_2","political"]},{"short_name":"OR","types":["administrative_area_level_1","political"],"long_name":"Oregon"},{"long_name":"United States","short_name":"US","types":["country","political"]},{"types":["postal_code"],"short_name":"97121","long_name":"97121"},{"short_name":"52H9+8H","types":["plus_code"],"long_name":"52H9+8H"},{"long_name":"Warrenton","short_name":"Warrenton","types":["locality","political"]},{"long_name":"Clatsop County","types":["administrative_area_level_2","political"],"short_name":"Clatsop County"},{"types":["administrative_area_level_1","political"],"long_name":"Oregon","short_name":"OR"},{"long_name":"United States","short_name":"US","types":["country","political"]},{"types":["latitude"],"long_name":46.178365,"short_name":46.178365},{"types":["longitude"],"long_name":-123.98111,"short_name":-123.98111}],"distance_from":{"mi":{"flying":{"2116 4th Ave, Seattle, WA, 98121":125.83419289895237},"driving":{"2116 4th Ave, Seattle, WA, 98121":184.55143102141253}}}}</v>
      </c>
      <c r="J315" s="8" t="str">
        <f t="shared" si="3"/>
        <v>[{"long_name":"Peter Iredale Road","short_name":"Peter Iredale Rd","types":["route"]},{"types":["neighborhood","political"],"long_name":"Hammond","short_name":"Hammond"},{"long_name":"Warrenton","types":["locality","political"],"short_name":"Warrenton"},{"long_name":"Clatsop County","short_name":"Clatsop County","types":["administrative_area_level_2","political"]},{"short_name":"OR","types":["administrative_area_level_1","political"],"long_name":"Oregon"},{"long_name":"United States","short_name":"US","types":["country","political"]},{"types":["postal_code"],"short_name":"97121","long_name":"97121"},{"short_name":"52H9+8H","types":["plus_code"],"long_name":"52H9+8H"},{"long_name":"Warrenton","short_name":"Warrenton","types":["locality","political"]},{"long_name":"Clatsop County","types":["administrative_area_level_2","political"],"short_name":"Clatsop County"},{"types":["administrative_area_level_1","political"],"long_name":"Oregon","short_name":"OR"},{"long_name":"United States","short_name":"US","types":["country","political"]},{"types":["latitude"],"long_name":46.178365,"short_name":46.178365},{"types":["longitude"],"long_name":-123.98111,"short_name":-123.98111},{"types":["debug_info","cache_load_result"],"long_name":"hit","short_name":"hit"}]</v>
      </c>
      <c r="K315" s="9" t="b">
        <f t="shared" ref="K315:K316" si="376">NOT(AND(NOT(_xlfn.ISFORMULA(P315)),AND(NOT(_xlfn.ISFORMULA(Q315)),AND(NOT(_xlfn.ISFORMULA(R315)),AND(NOT(_xlfn.ISFORMULA(S315)),AND(NOT(_xlfn.ISFORMULA(T315)),AND(NOT(_xlfn.ISFORMULA(U315)),AND(NOT(_xlfn.ISFORMULA(V315))))))))))</f>
        <v>1</v>
      </c>
      <c r="L315" s="8" t="b">
        <f t="shared" si="4"/>
        <v>0</v>
      </c>
      <c r="M315" s="10" t="b">
        <v>1</v>
      </c>
      <c r="N315" s="8">
        <f t="shared" ref="N315:N316" si="377">GOOGLEMAPS_GET_ADDRESS_LATITUDE(F315,true)</f>
        <v>46.178365</v>
      </c>
      <c r="O315" s="8">
        <f t="shared" ref="O315:O316" si="378">GOOGLEMAPS_GET_ADDRESS_LONGITUDE(F315,true)</f>
        <v>-123.98111</v>
      </c>
      <c r="P315" s="8" t="str">
        <f t="shared" ref="P315:P316" si="379">GOOGLEMAPS_GET_ADDRESS_CITY(F315,true,false)</f>
        <v>Warrenton</v>
      </c>
      <c r="Q315" s="8" t="str">
        <f t="shared" ref="Q315:Q316" si="380">GOOGLEMAPS_GET_ADDRESS_STATE(F315,true,false)</f>
        <v>Oregon</v>
      </c>
      <c r="R315" s="8" t="str">
        <f t="shared" ref="R315:R316" si="381">GOOGLEMAPS_GET_ADDRESS_POSTAL_CODE(F315,false,false)</f>
        <v>97121</v>
      </c>
      <c r="S315" s="8" t="str">
        <f t="shared" ref="S315:S316" si="382">GOOGLEMAPS_GET_ADDRESS_COUNTRY(F315,true,false)</f>
        <v>United States</v>
      </c>
      <c r="T315" s="11">
        <f t="shared" ref="T315:T316" si="383">IFERROR(GOOGLEMAPS_DISTANCE("2116 4th Ave, Seattle, WA, 98121", F315, "driving")+0,"Not Driveable")</f>
        <v>184.551431</v>
      </c>
      <c r="U315" s="12">
        <f t="shared" ref="U315:U316" si="384">iferror(GOOGLEMAPS_DURATION("2116 4th Ave, Seattle, WA, 98121", F315, "driving")+0,"Not Driveable")</f>
        <v>0.1445949074</v>
      </c>
      <c r="V315" s="13">
        <f t="shared" ref="V315:V316" si="385">GOOGLEMAPS_DISTANCE("2116 4th Ave, Seattle, WA, 98121", F315, "flying")+0</f>
        <v>125.8341929</v>
      </c>
      <c r="W315" s="31"/>
      <c r="X315" s="4" t="str">
        <f t="shared" si="364"/>
        <v>N/A</v>
      </c>
      <c r="Y315" s="31"/>
      <c r="Z315" s="31">
        <v>44166.0</v>
      </c>
      <c r="AA315" s="24"/>
      <c r="AB315" s="25" t="s">
        <v>1217</v>
      </c>
    </row>
    <row r="316">
      <c r="A316" s="3" t="s">
        <v>930</v>
      </c>
      <c r="B316" s="4" t="s">
        <v>1218</v>
      </c>
      <c r="C316" s="4" t="s">
        <v>1219</v>
      </c>
      <c r="D316" s="4" t="s">
        <v>1220</v>
      </c>
      <c r="E316" s="3" t="s">
        <v>147</v>
      </c>
      <c r="F316" s="4" t="s">
        <v>1218</v>
      </c>
      <c r="G316" s="6" t="str">
        <f t="shared" si="1"/>
        <v>Link</v>
      </c>
      <c r="H316" s="5"/>
      <c r="I316" s="7" t="str">
        <f t="shared" si="2"/>
        <v>{"address_components":[{"short_name":"82","long_name":"82","types":["premise"]},{"types":["locality","political"],"short_name":"Hřensko","long_name":"Hřensko"},{"short_name":"Okres Děčín","long_name":"Okres Děčín","types":["administrative_area_level_2","political"]},{"types":["administrative_area_level_1","political"],"long_name":"Ústecký kraj","short_name":"Ústecký kraj"},{"short_name":"CZ","long_name":"Czechia","types":["country","political"]},{"short_name":"407 17","long_name":"407 17","types":["postal_code"]},{"types":["premise"],"short_name":"82","long_name":"82"},{"short_name":"Hřensko","long_name":"Hřensko","types":["locality","political"]},{"long_name":"Okres Děčín","types":["administrative_area_level_2","political"],"short_name":"Okres Děčín"},{"types":["administrative_area_level_1","political"],"long_name":"Ústecký kraj","short_name":"Ústecký kraj"},{"long_name":"Czechia","short_name":"CZ","types":["country","political"]},{"long_name":"407 17","short_name":"407 17","types":["postal_code"]},{"types":["latitude"],"long_name":50.8839207,"short_name":50.8839207},{"types":["longitude"],"long_name":14.2815093,"short_name":14.2815093}],"distance_from":{"mi":{"driving":{"2116 4th Ave, Seattle, WA, 98121":"GOOGLE_MAPS_ERROR_CACHED - No route found!"},"flying":{"2116 4th Ave, Seattle, WA, 98121":5160.981520374812}}},"duration_from":{"days":{"driving":{"2116 4th Ave, Seattle, WA, 98121":"GOOGLE_MAPS_ERROR_CACHED - No route found!"}}}}</v>
      </c>
      <c r="J316" s="8" t="str">
        <f t="shared" si="3"/>
        <v>[{"short_name":"82","long_name":"82","types":["premise"]},{"types":["locality","political"],"short_name":"Hřensko","long_name":"Hřensko"},{"short_name":"Okres Děčín","long_name":"Okres Děčín","types":["administrative_area_level_2","political"]},{"types":["administrative_area_level_1","political"],"long_name":"Ústecký kraj","short_name":"Ústecký kraj"},{"short_name":"CZ","long_name":"Czechia","types":["country","political"]},{"short_name":"407 17","long_name":"407 17","types":["postal_code"]},{"types":["premise"],"short_name":"82","long_name":"82"},{"short_name":"Hřensko","long_name":"Hřensko","types":["locality","political"]},{"long_name":"Okres Děčín","types":["administrative_area_level_2","political"],"short_name":"Okres Děčín"},{"types":["administrative_area_level_1","political"],"long_name":"Ústecký kraj","short_name":"Ústecký kraj"},{"long_name":"Czechia","short_name":"CZ","types":["country","political"]},{"long_name":"407 17","short_name":"407 17","types":["postal_code"]},{"types":["latitude"],"long_name":50.8839207,"short_name":50.8839207},{"types":["longitude"],"long_name":14.2815093,"short_name":14.2815093},{"types":["debug_info","cache_load_result"],"long_name":"hit","short_name":"hit"}]</v>
      </c>
      <c r="K316" s="9" t="b">
        <f t="shared" si="376"/>
        <v>1</v>
      </c>
      <c r="L316" s="8" t="b">
        <f t="shared" si="4"/>
        <v>0</v>
      </c>
      <c r="M316" s="15" t="b">
        <v>1</v>
      </c>
      <c r="N316" s="8">
        <f t="shared" si="377"/>
        <v>50.8839207</v>
      </c>
      <c r="O316" s="8">
        <f t="shared" si="378"/>
        <v>14.2815093</v>
      </c>
      <c r="P316" s="8" t="str">
        <f t="shared" si="379"/>
        <v>Hřensko</v>
      </c>
      <c r="Q316" s="8" t="str">
        <f t="shared" si="380"/>
        <v>Ústecký kraj</v>
      </c>
      <c r="R316" s="8" t="str">
        <f t="shared" si="381"/>
        <v>407 17</v>
      </c>
      <c r="S316" s="8" t="str">
        <f t="shared" si="382"/>
        <v>Czechia</v>
      </c>
      <c r="T316" s="11" t="str">
        <f t="shared" si="383"/>
        <v>Not Driveable</v>
      </c>
      <c r="U316" s="12" t="str">
        <f t="shared" si="384"/>
        <v>Not Driveable</v>
      </c>
      <c r="V316" s="13">
        <f t="shared" si="385"/>
        <v>5160.98152</v>
      </c>
      <c r="X316" s="4" t="str">
        <f t="shared" si="364"/>
        <v>N/A</v>
      </c>
      <c r="Y316" s="4"/>
      <c r="Z316" s="4" t="s">
        <v>38</v>
      </c>
      <c r="AB316" s="14" t="s">
        <v>69</v>
      </c>
    </row>
    <row r="317" hidden="1">
      <c r="A317" s="34" t="s">
        <v>930</v>
      </c>
      <c r="B317" s="4" t="s">
        <v>1221</v>
      </c>
      <c r="C317" s="4"/>
      <c r="D317" s="4"/>
      <c r="E317" s="3" t="s">
        <v>134</v>
      </c>
      <c r="F317" s="4" t="s">
        <v>1222</v>
      </c>
      <c r="G317" s="6" t="str">
        <f t="shared" si="1"/>
        <v>Link</v>
      </c>
      <c r="H317" s="3" t="s">
        <v>323</v>
      </c>
      <c r="I317" s="8" t="str">
        <f t="shared" si="2"/>
        <v>{"address_components":[{"types":["street_number"],"short_name":"401","long_name":"401"},{"long_name":"Weldon Lane","short_name":"Weldon Ln","types":["route"]},{"long_name":"Declo","types":["locality","political"],"short_name":"Declo"},{"short_name":"Cassia County","long_name":"Cassia County","types":["administrative_area_level_2","political"]},{"types":["administrative_area_level_1","political"],"long_name":"Idaho","short_name":"ID"},{"types":["country","political"],"long_name":"United States","short_name":"US"},{"long_name":"83323","types":["postal_code"],"short_name":"83323"},{"types":["street_number"],"long_name":"401","short_name":"401"},{"short_name":"Weldon Ln","long_name":"Weldon Lane","types":["route"]},{"long_name":"Declo","short_name":"Declo","types":["locality","political"]},{"long_name":"Cassia County","short_name":"Cassia County","types":["administrative_area_level_2","political"]},{"long_name":"Idaho","types":["administrative_area_level_1","political"],"short_name":"ID"},{"types":["country","political"],"short_name":"US","long_name":"United States"},{"short_name":"83323","long_name":"83323","types":["postal_code"]},{"types":["latitude"],"long_name":42.413355,"short_name":42.413355},{"types":["longitude"],"long_name":-113.584127,"short_name":-113.584127}]}</v>
      </c>
      <c r="J317" s="8" t="str">
        <f t="shared" si="3"/>
        <v>[{"types":["street_number"],"short_name":"401","long_name":"401"},{"long_name":"Weldon Lane","short_name":"Weldon Ln","types":["route"]},{"long_name":"Declo","types":["locality","political"],"short_name":"Declo"},{"short_name":"Cassia County","long_name":"Cassia County","types":["administrative_area_level_2","political"]},{"types":["administrative_area_level_1","political"],"long_name":"Idaho","short_name":"ID"},{"types":["country","political"],"long_name":"United States","short_name":"US"},{"long_name":"83323","types":["postal_code"],"short_name":"83323"},{"types":["street_number"],"long_name":"401","short_name":"401"},{"short_name":"Weldon Ln","long_name":"Weldon Lane","types":["route"]},{"long_name":"Declo","short_name":"Declo","types":["locality","political"]},{"long_name":"Cassia County","short_name":"Cassia County","types":["administrative_area_level_2","political"]},{"long_name":"Idaho","types":["administrative_area_level_1","political"],"short_name":"ID"},{"types":["country","political"],"short_name":"US","long_name":"United States"},{"short_name":"83323","long_name":"83323","types":["postal_code"]},{"types":["latitude"],"long_name":42.413355,"short_name":42.413355},{"types":["longitude"],"long_name":-113.584127,"short_name":-113.584127},{"types":["debug_info","cache_load_result"],"long_name":"hit","short_name":"hit"}]</v>
      </c>
      <c r="K317" s="9" t="b">
        <f t="shared" ref="K317:K319" si="386">NOT(AND(NOT(_xlfn.ISFORMULA(P317)),AND(NOT(_xlfn.ISFORMULA(Q317)),AND(NOT(_xlfn.ISFORMULA(R317)),AND(NOT(_xlfn.ISFORMULA(S317)),AND(NOT(_xlfn.ISFORMULA(T317)),AND(NOT(_xlfn.ISFORMULA(U317)),AND(NOT(_xlfn.ISFORMULA(V317)),AND(NOT(_xlfn.ISFORMULA(N317)),NOT(_xlfn.ISFORMULA(O317)))))))))))</f>
        <v>0</v>
      </c>
      <c r="L317" s="8" t="b">
        <f t="shared" si="4"/>
        <v>1</v>
      </c>
      <c r="M317" s="10" t="b">
        <v>1</v>
      </c>
      <c r="N317" s="10">
        <v>42.4126885</v>
      </c>
      <c r="O317" s="10">
        <v>-113.578063</v>
      </c>
      <c r="P317" s="10" t="s">
        <v>1223</v>
      </c>
      <c r="Q317" s="10" t="s">
        <v>555</v>
      </c>
      <c r="R317" s="10">
        <v>83311.0</v>
      </c>
      <c r="S317" s="10" t="s">
        <v>47</v>
      </c>
      <c r="T317" s="19">
        <v>669.4</v>
      </c>
      <c r="U317" s="32">
        <v>0.4357523148148148</v>
      </c>
      <c r="V317" s="18">
        <v>558.32</v>
      </c>
      <c r="X317" s="4" t="str">
        <f t="shared" si="364"/>
        <v>N/A</v>
      </c>
      <c r="Z317" s="4" t="s">
        <v>38</v>
      </c>
    </row>
    <row r="318">
      <c r="A318" s="3" t="s">
        <v>930</v>
      </c>
      <c r="B318" s="4" t="s">
        <v>1224</v>
      </c>
      <c r="C318" s="4"/>
      <c r="D318" s="4"/>
      <c r="E318" s="3" t="s">
        <v>43</v>
      </c>
      <c r="F318" s="4" t="s">
        <v>1224</v>
      </c>
      <c r="G318" s="6" t="str">
        <f t="shared" si="1"/>
        <v>Link</v>
      </c>
      <c r="H318" s="3" t="s">
        <v>45</v>
      </c>
      <c r="I318" s="8" t="str">
        <f t="shared" si="2"/>
        <v>{"address_components":[{"short_name":"Döllersheim","types":["locality","political"],"long_name":"Döllersheim"},{"long_name":"Zwettl District","short_name":"Zwettl District","types":["administrative_area_level_2","political"]},{"long_name":"Lower Austria","types":["administrative_area_level_1","political"],"short_name":"Lower Austria"},{"long_name":"Austria","types":["country","political"],"short_name":"AT"},{"types":["postal_code"],"long_name":"3594","short_name":"3594"},{"short_name":"914","long_name":"914","types":["street_number"]},{"long_name":"L75","types":["route"],"short_name":"L75"},{"types":["administrative_area_level_2","political"],"long_name":"Zwettl","short_name":"Zwettl"},{"types":["administrative_area_level_1","political"],"short_name":"Niederösterreich","long_name":"Niederösterreich"},{"short_name":"AT","types":["country","political"],"long_name":"Austria"},{"types":["postal_code"],"long_name":"3594","short_name":"3594"},{"types":["latitude"],"long_name":48.61984,"short_name":48.61984},{"types":["longitude"],"long_name":15.30747,"short_name":15.30747}]}</v>
      </c>
      <c r="J318" s="8" t="str">
        <f t="shared" si="3"/>
        <v>[{"short_name":"Döllersheim","types":["locality","political"],"long_name":"Döllersheim"},{"long_name":"Zwettl District","short_name":"Zwettl District","types":["administrative_area_level_2","political"]},{"long_name":"Lower Austria","types":["administrative_area_level_1","political"],"short_name":"Lower Austria"},{"long_name":"Austria","types":["country","political"],"short_name":"AT"},{"types":["postal_code"],"long_name":"3594","short_name":"3594"},{"short_name":"914","long_name":"914","types":["street_number"]},{"long_name":"L75","types":["route"],"short_name":"L75"},{"types":["administrative_area_level_2","political"],"long_name":"Zwettl","short_name":"Zwettl"},{"types":["administrative_area_level_1","political"],"short_name":"Niederösterreich","long_name":"Niederösterreich"},{"short_name":"AT","types":["country","political"],"long_name":"Austria"},{"types":["postal_code"],"long_name":"3594","short_name":"3594"},{"types":["latitude"],"long_name":48.61984,"short_name":48.61984},{"types":["longitude"],"long_name":15.30747,"short_name":15.30747},{"types":["debug_info","cache_load_result"],"long_name":"hit","short_name":"hit"}]</v>
      </c>
      <c r="K318" s="9" t="b">
        <f t="shared" si="386"/>
        <v>0</v>
      </c>
      <c r="L318" s="8" t="b">
        <f t="shared" si="4"/>
        <v>1</v>
      </c>
      <c r="M318" s="10" t="b">
        <v>1</v>
      </c>
      <c r="N318" s="10">
        <v>48.61984</v>
      </c>
      <c r="O318" s="10">
        <v>15.30747</v>
      </c>
      <c r="P318" s="10" t="s">
        <v>1225</v>
      </c>
      <c r="Q318" s="10" t="s">
        <v>1226</v>
      </c>
      <c r="R318" s="10">
        <v>3594.0</v>
      </c>
      <c r="S318" s="10" t="s">
        <v>1227</v>
      </c>
      <c r="T318" s="19" t="s">
        <v>56</v>
      </c>
      <c r="U318" s="20" t="s">
        <v>56</v>
      </c>
      <c r="V318" s="18">
        <v>5320.47</v>
      </c>
      <c r="X318" s="4" t="str">
        <f t="shared" si="364"/>
        <v>N/A</v>
      </c>
      <c r="Y318" s="4"/>
      <c r="Z318" s="4" t="s">
        <v>38</v>
      </c>
      <c r="AF318" s="4" t="s">
        <v>1228</v>
      </c>
    </row>
    <row r="319" hidden="1">
      <c r="A319" s="3" t="s">
        <v>930</v>
      </c>
      <c r="B319" s="4" t="s">
        <v>1229</v>
      </c>
      <c r="D319" s="4" t="s">
        <v>1230</v>
      </c>
      <c r="E319" s="5"/>
      <c r="F319" s="4" t="s">
        <v>1229</v>
      </c>
      <c r="G319" s="6" t="str">
        <f t="shared" si="1"/>
        <v>Link</v>
      </c>
      <c r="H319" s="3" t="s">
        <v>45</v>
      </c>
      <c r="I319" s="7" t="str">
        <f t="shared" si="2"/>
        <v>{"address_components":[{"types":["locality","political"],"short_name":"Cairo","long_name":"Cairo"},{"long_name":"Cairo Precinct","short_name":"Cairo Precinct","types":["administrative_area_level_3","political"]},{"types":["administrative_area_level_2","political"],"short_name":"Alexander County","long_name":"Alexander County"},{"types":["administrative_area_level_1","political"],"short_name":"IL","long_name":"Illinois"},{"short_name":"US","types":["country","political"],"long_name":"United States"},{"long_name":"62914","short_name":"62914","types":["postal_code"]},{"long_name":"3145-301","types":["street_number"],"short_name":"3145-301"},{"long_name":"Division Street","types":["route"],"short_name":"Division St"},{"short_name":"Cairo","types":["locality","political"],"long_name":"Cairo"},{"long_name":"Cairo Precinct","short_name":"Cairo Precinct","types":["administrative_area_level_3","political"]},{"long_name":"Alexander County","types":["administrative_area_level_2","political"],"short_name":"Alexander County"},{"long_name":"Illinois","types":["administrative_area_level_1","political"],"short_name":"IL"},{"short_name":"US","types":["country","political"],"long_name":"United States"},{"long_name":"62914","short_name":"62914","types":["postal_code"]},{"types":["latitude"],"long_name":37.0053293,"short_name":37.0053293},{"types":["longitude"],"long_name":-89.1764608,"short_name":-89.1764608}]}</v>
      </c>
      <c r="J319" s="8" t="str">
        <f t="shared" si="3"/>
        <v>[{"types":["locality","political"],"short_name":"Cairo","long_name":"Cairo"},{"long_name":"Cairo Precinct","short_name":"Cairo Precinct","types":["administrative_area_level_3","political"]},{"types":["administrative_area_level_2","political"],"short_name":"Alexander County","long_name":"Alexander County"},{"types":["administrative_area_level_1","political"],"short_name":"IL","long_name":"Illinois"},{"short_name":"US","types":["country","political"],"long_name":"United States"},{"long_name":"62914","short_name":"62914","types":["postal_code"]},{"long_name":"3145-301","types":["street_number"],"short_name":"3145-301"},{"long_name":"Division Street","types":["route"],"short_name":"Division St"},{"short_name":"Cairo","types":["locality","political"],"long_name":"Cairo"},{"long_name":"Cairo Precinct","short_name":"Cairo Precinct","types":["administrative_area_level_3","political"]},{"long_name":"Alexander County","types":["administrative_area_level_2","political"],"short_name":"Alexander County"},{"long_name":"Illinois","types":["administrative_area_level_1","political"],"short_name":"IL"},{"short_name":"US","types":["country","political"],"long_name":"United States"},{"long_name":"62914","short_name":"62914","types":["postal_code"]},{"types":["latitude"],"long_name":37.0053293,"short_name":37.0053293},{"types":["longitude"],"long_name":-89.1764608,"short_name":-89.1764608},{"types":["debug_info","cache_load_result"],"long_name":"hit","short_name":"hit"}]</v>
      </c>
      <c r="K319" s="9" t="b">
        <f t="shared" si="386"/>
        <v>0</v>
      </c>
      <c r="L319" s="8" t="b">
        <f t="shared" si="4"/>
        <v>1</v>
      </c>
      <c r="M319" s="10" t="b">
        <v>1</v>
      </c>
      <c r="N319" s="10">
        <v>37.0053293</v>
      </c>
      <c r="O319" s="10">
        <v>-89.1764608</v>
      </c>
      <c r="P319" s="10" t="s">
        <v>1231</v>
      </c>
      <c r="Q319" s="10" t="s">
        <v>1012</v>
      </c>
      <c r="R319" s="10">
        <v>62914.0</v>
      </c>
      <c r="S319" s="10" t="s">
        <v>47</v>
      </c>
      <c r="T319" s="19">
        <v>2216.6</v>
      </c>
      <c r="U319" s="32">
        <v>1.3617939814814815</v>
      </c>
      <c r="V319" s="18" t="e">
        <v>#ERROR!</v>
      </c>
      <c r="X319" s="4" t="str">
        <f t="shared" si="364"/>
        <v>N/A</v>
      </c>
      <c r="Y319" s="4"/>
      <c r="Z319" s="4" t="s">
        <v>38</v>
      </c>
    </row>
    <row r="320" hidden="1">
      <c r="A320" s="3" t="s">
        <v>930</v>
      </c>
      <c r="B320" s="4" t="s">
        <v>1232</v>
      </c>
      <c r="E320" s="5"/>
      <c r="F320" s="4" t="s">
        <v>1233</v>
      </c>
      <c r="G320" s="6" t="str">
        <f t="shared" si="1"/>
        <v>Link</v>
      </c>
      <c r="H320" s="5"/>
      <c r="I320" s="7" t="str">
        <f t="shared" si="2"/>
        <v>{"address_components":[{"short_name":"Earhart campgrounds","types":["campground","establishment","lodging","park","point_of_interest"],"long_name":"Earhart campgrounds"},{"types":["route"],"long_name":"Newfoundland and Labrador 75","short_name":"NL-75"},{"long_name":"Harbour Grace","short_name":"Harbour Grace","types":["locality","political"]},{"long_name":"Newfoundland and Labrador","short_name":"NL","types":["administrative_area_level_1","political"]},{"short_name":"CA","long_name":"Canada","types":["country","political"]},{"types":["postal_code"],"short_name":"A0A 2M0","long_name":"A0A 2M0"},{"long_name":"MPGJ+4H","short_name":"MPGJ+4H","types":["plus_code"]},{"types":["locality","political"],"long_name":"Harbour Grace","short_name":"Harbour Grace"},{"long_name":"Newfoundland and Labrador","types":["administrative_area_level_1","political"],"short_name":"NL"},{"long_name":"Canada","short_name":"CA","types":["country","political"]},{"types":["postal_code","postal_code_prefix"],"long_name":"A0A","short_name":"A0A"},{"types":["latitude"],"long_name":47.6753659,"short_name":47.6753659},{"types":["longitude"],"long_name":-53.268611,"short_name":-53.268611}],"duration_from":{"days":{"driving":{"2116 4th Ave, Seattle, WA, 98121":3.03693287037037}}},"distance_from":{"mi":{"flying":{"2116 4th Ave, Seattle, WA, 98121":3102.9714044266593},"driving":{"2116 4th Ave, Seattle, WA, 98121":4252.176047323748}}}}</v>
      </c>
      <c r="J320" s="8" t="str">
        <f t="shared" si="3"/>
        <v>[{"short_name":"Earhart campgrounds","types":["campground","establishment","lodging","park","point_of_interest"],"long_name":"Earhart campgrounds"},{"types":["route"],"long_name":"Newfoundland and Labrador 75","short_name":"NL-75"},{"long_name":"Harbour Grace","short_name":"Harbour Grace","types":["locality","political"]},{"long_name":"Newfoundland and Labrador","short_name":"NL","types":["administrative_area_level_1","political"]},{"short_name":"CA","long_name":"Canada","types":["country","political"]},{"types":["postal_code"],"short_name":"A0A 2M0","long_name":"A0A 2M0"},{"long_name":"MPGJ+4H","short_name":"MPGJ+4H","types":["plus_code"]},{"types":["locality","political"],"long_name":"Harbour Grace","short_name":"Harbour Grace"},{"long_name":"Newfoundland and Labrador","types":["administrative_area_level_1","political"],"short_name":"NL"},{"long_name":"Canada","short_name":"CA","types":["country","political"]},{"types":["postal_code","postal_code_prefix"],"long_name":"A0A","short_name":"A0A"},{"types":["latitude"],"long_name":47.6753659,"short_name":47.6753659},{"types":["longitude"],"long_name":-53.268611,"short_name":-53.268611},{"types":["debug_info","cache_load_result"],"long_name":"hit","short_name":"hit"}]</v>
      </c>
      <c r="K320" s="9" t="b">
        <f>NOT(AND(NOT(_xlfn.ISFORMULA(P320)),AND(NOT(_xlfn.ISFORMULA(Q320)),AND(NOT(_xlfn.ISFORMULA(R320)),AND(NOT(_xlfn.ISFORMULA(S320)),AND(NOT(_xlfn.ISFORMULA(T320)),AND(NOT(_xlfn.ISFORMULA(U320)),AND(NOT(_xlfn.ISFORMULA(V320))))))))))</f>
        <v>1</v>
      </c>
      <c r="L320" s="8" t="b">
        <f t="shared" si="4"/>
        <v>1</v>
      </c>
      <c r="M320" s="10" t="b">
        <v>1</v>
      </c>
      <c r="N320" s="8">
        <f>GOOGLEMAPS_GET_ADDRESS_LATITUDE(F320,true)</f>
        <v>47.6753659</v>
      </c>
      <c r="O320" s="8">
        <f>GOOGLEMAPS_GET_ADDRESS_LONGITUDE(F320,true)</f>
        <v>-53.268611</v>
      </c>
      <c r="P320" s="8" t="str">
        <f>GOOGLEMAPS_GET_ADDRESS_CITY(F320,true,false)</f>
        <v>Harbour Grace</v>
      </c>
      <c r="Q320" s="8" t="str">
        <f>GOOGLEMAPS_GET_ADDRESS_STATE(F320,true,false)</f>
        <v>Newfoundland and Labrador</v>
      </c>
      <c r="R320" s="8" t="str">
        <f>GOOGLEMAPS_GET_ADDRESS_POSTAL_CODE(F320,false,false)</f>
        <v>A0A 2M0</v>
      </c>
      <c r="S320" s="8" t="str">
        <f>GOOGLEMAPS_GET_ADDRESS_COUNTRY(F320,true,false)</f>
        <v>Canada</v>
      </c>
      <c r="T320" s="11">
        <f>IFERROR(GOOGLEMAPS_DISTANCE("2116 4th Ave, Seattle, WA, 98121", F320, "driving")+0,"Not Driveable")</f>
        <v>4252.176047</v>
      </c>
      <c r="U320" s="12">
        <f>iferror(GOOGLEMAPS_DURATION("2116 4th Ave, Seattle, WA, 98121", F320, "driving")+0,"Not Driveable")</f>
        <v>3.03693287</v>
      </c>
      <c r="V320" s="13">
        <f>GOOGLEMAPS_DISTANCE("2116 4th Ave, Seattle, WA, 98121", F320, "flying")+0</f>
        <v>3102.971404</v>
      </c>
      <c r="X320" s="4" t="str">
        <f t="shared" si="364"/>
        <v>N/A</v>
      </c>
      <c r="Y320" s="4"/>
      <c r="Z320" s="4" t="s">
        <v>38</v>
      </c>
    </row>
    <row r="321" hidden="1">
      <c r="A321" s="3" t="s">
        <v>1234</v>
      </c>
      <c r="B321" s="4" t="s">
        <v>1235</v>
      </c>
      <c r="C321" s="4"/>
      <c r="D321" s="4"/>
      <c r="E321" s="3" t="s">
        <v>43</v>
      </c>
      <c r="F321" s="4" t="s">
        <v>1236</v>
      </c>
      <c r="G321" s="6" t="str">
        <f t="shared" si="1"/>
        <v>Link</v>
      </c>
      <c r="H321" s="3" t="s">
        <v>219</v>
      </c>
      <c r="I321" s="8" t="str">
        <f t="shared" si="2"/>
        <v>{"address_components":[{"types":["street_number"],"long_name":"521","short_name":"521"},{"types":["route"],"long_name":"Main Street","short_name":"N Main St"},{"types":["locality","political"],"short_name":"Tonopah","long_name":"Tonopah"},{"short_name":"Nye County","types":["administrative_area_level_2","political"],"long_name":"Nye County"},{"short_name":"NV","long_name":"Nevada","types":["administrative_area_level_1","political"]},{"long_name":"United States","short_name":"US","types":["country","political"]},{"types":["postal_code"],"long_name":"89049","short_name":"89049"},{"short_name":"553","types":["street_number"],"long_name":"553"},{"short_name":"N Main St","long_name":"Main Street","types":["route"]},{"long_name":"Tonopah","short_name":"Tonopah","types":["locality","political"]},{"long_name":"Nye County","short_name":"Nye County","types":["administrative_area_level_2","political"]},{"long_name":"Nevada","short_name":"NV","types":["administrative_area_level_1","political"]},{"long_name":"United States","short_name":"US","types":["country","political"]},{"types":["postal_code"],"long_name":"89049","short_name":"89049"},{"types":["latitude"],"long_name":38.07206410000001,"short_name":38.07206410000001},{"types":["longitude"],"long_name":-117.2380131,"short_name":-117.2380131}]}</v>
      </c>
      <c r="J321" s="8" t="str">
        <f t="shared" si="3"/>
        <v>[{"types":["street_number"],"long_name":"521","short_name":"521"},{"types":["route"],"long_name":"Main Street","short_name":"N Main St"},{"types":["locality","political"],"short_name":"Tonopah","long_name":"Tonopah"},{"short_name":"Nye County","types":["administrative_area_level_2","political"],"long_name":"Nye County"},{"short_name":"NV","long_name":"Nevada","types":["administrative_area_level_1","political"]},{"long_name":"United States","short_name":"US","types":["country","political"]},{"types":["postal_code"],"long_name":"89049","short_name":"89049"},{"short_name":"553","types":["street_number"],"long_name":"553"},{"short_name":"N Main St","long_name":"Main Street","types":["route"]},{"long_name":"Tonopah","short_name":"Tonopah","types":["locality","political"]},{"long_name":"Nye County","short_name":"Nye County","types":["administrative_area_level_2","political"]},{"long_name":"Nevada","short_name":"NV","types":["administrative_area_level_1","political"]},{"long_name":"United States","short_name":"US","types":["country","political"]},{"types":["postal_code"],"long_name":"89049","short_name":"89049"},{"types":["latitude"],"long_name":38.07206410000001,"short_name":38.07206410000001},{"types":["longitude"],"long_name":-117.2380131,"short_name":-117.2380131},{"types":["debug_info","cache_load_result"],"long_name":"hit","short_name":"hit"}]</v>
      </c>
      <c r="K321" s="9" t="b">
        <f t="shared" ref="K321:K323" si="387">NOT(AND(NOT(_xlfn.ISFORMULA(P321)),AND(NOT(_xlfn.ISFORMULA(Q321)),AND(NOT(_xlfn.ISFORMULA(R321)),AND(NOT(_xlfn.ISFORMULA(S321)),AND(NOT(_xlfn.ISFORMULA(T321)),AND(NOT(_xlfn.ISFORMULA(U321)),AND(NOT(_xlfn.ISFORMULA(V321)),AND(NOT(_xlfn.ISFORMULA(N321)),NOT(_xlfn.ISFORMULA(O321)))))))))))</f>
        <v>0</v>
      </c>
      <c r="L321" s="8" t="b">
        <f t="shared" si="4"/>
        <v>1</v>
      </c>
      <c r="M321" s="10" t="b">
        <v>1</v>
      </c>
      <c r="N321" s="10">
        <v>38.0723105</v>
      </c>
      <c r="O321" s="10">
        <v>-117.2379407</v>
      </c>
      <c r="P321" s="10" t="s">
        <v>1237</v>
      </c>
      <c r="Q321" s="10" t="s">
        <v>740</v>
      </c>
      <c r="R321" s="10">
        <v>89049.0</v>
      </c>
      <c r="S321" s="10" t="s">
        <v>47</v>
      </c>
      <c r="T321" s="19">
        <v>926.4</v>
      </c>
      <c r="U321" s="32">
        <v>0.6261342592592593</v>
      </c>
      <c r="V321" s="18">
        <v>707.77</v>
      </c>
      <c r="X321" s="4" t="str">
        <f t="shared" si="364"/>
        <v>N/A</v>
      </c>
      <c r="Y321" s="4"/>
      <c r="Z321" s="4" t="s">
        <v>38</v>
      </c>
    </row>
    <row r="322" hidden="1">
      <c r="A322" s="34" t="s">
        <v>1234</v>
      </c>
      <c r="B322" s="4" t="s">
        <v>1238</v>
      </c>
      <c r="C322" s="4"/>
      <c r="D322" s="4"/>
      <c r="E322" s="3" t="s">
        <v>43</v>
      </c>
      <c r="F322" s="4" t="s">
        <v>1239</v>
      </c>
      <c r="G322" s="6" t="str">
        <f t="shared" si="1"/>
        <v>Link</v>
      </c>
      <c r="H322" s="3" t="s">
        <v>219</v>
      </c>
      <c r="I322" s="8" t="str">
        <f t="shared" si="2"/>
        <v>{"address_components":[{"types":["locality","political"],"short_name":"Port Townsend","long_name":"Port Townsend"},{"long_name":"Jefferson County","types":["administrative_area_level_2","political"],"short_name":"Jefferson County"},{"short_name":"WA","long_name":"Washington","types":["administrative_area_level_1","political"]},{"long_name":"United States","types":["country","political"],"short_name":"US"},{"types":["postal_code"],"long_name":"98368","short_name":"98368"},{"long_name":"282023","types":["street_number"],"short_name":"282023"},{"short_name":"US-101","long_name":"U.S. 101","types":["route"]},{"short_name":"Port Townsend","types":["locality","political"],"long_name":"Port Townsend"},{"short_name":"Jefferson County","long_name":"Jefferson County","types":["administrative_area_level_2","political"]},{"short_name":"WA","long_name":"Washington","types":["administrative_area_level_1","political"]},{"short_name":"US","long_name":"United States","types":["country","political"]},{"long_name":"98368","short_name":"98368","types":["postal_code"]},{"types":["postal_code_suffix"],"short_name":"9331","long_name":"9331"},{"types":["latitude"],"long_name":47.9943204,"short_name":47.9943204},{"types":["longitude"],"long_name":-122.8871155,"short_name":-122.8871155}]}</v>
      </c>
      <c r="J322" s="8" t="str">
        <f t="shared" si="3"/>
        <v>[{"types":["locality","political"],"short_name":"Port Townsend","long_name":"Port Townsend"},{"long_name":"Jefferson County","types":["administrative_area_level_2","political"],"short_name":"Jefferson County"},{"short_name":"WA","long_name":"Washington","types":["administrative_area_level_1","political"]},{"long_name":"United States","types":["country","political"],"short_name":"US"},{"types":["postal_code"],"long_name":"98368","short_name":"98368"},{"long_name":"282023","types":["street_number"],"short_name":"282023"},{"short_name":"US-101","long_name":"U.S. 101","types":["route"]},{"short_name":"Port Townsend","types":["locality","political"],"long_name":"Port Townsend"},{"short_name":"Jefferson County","long_name":"Jefferson County","types":["administrative_area_level_2","political"]},{"short_name":"WA","long_name":"Washington","types":["administrative_area_level_1","political"]},{"short_name":"US","long_name":"United States","types":["country","political"]},{"long_name":"98368","short_name":"98368","types":["postal_code"]},{"types":["postal_code_suffix"],"short_name":"9331","long_name":"9331"},{"types":["latitude"],"long_name":47.9943204,"short_name":47.9943204},{"types":["longitude"],"long_name":-122.8871155,"short_name":-122.8871155},{"types":["debug_info","cache_load_result"],"long_name":"hit","short_name":"hit"}]</v>
      </c>
      <c r="K322" s="9" t="b">
        <f t="shared" si="387"/>
        <v>0</v>
      </c>
      <c r="L322" s="8" t="b">
        <f t="shared" si="4"/>
        <v>1</v>
      </c>
      <c r="M322" s="10" t="b">
        <v>1</v>
      </c>
      <c r="N322" s="10">
        <v>48.1170387</v>
      </c>
      <c r="O322" s="10">
        <v>-122.7604472</v>
      </c>
      <c r="P322" s="10" t="s">
        <v>703</v>
      </c>
      <c r="Q322" s="10" t="s">
        <v>193</v>
      </c>
      <c r="R322" s="10">
        <v>98368.0</v>
      </c>
      <c r="S322" s="10" t="s">
        <v>47</v>
      </c>
      <c r="T322" s="19">
        <v>49.6</v>
      </c>
      <c r="U322" s="32">
        <v>0.07784722222222222</v>
      </c>
      <c r="V322" s="18">
        <v>39.79</v>
      </c>
      <c r="W322" s="4"/>
      <c r="X322" s="4" t="str">
        <f t="shared" si="364"/>
        <v>N/A</v>
      </c>
      <c r="Y322" s="4"/>
      <c r="Z322" s="4" t="s">
        <v>38</v>
      </c>
      <c r="AA322" s="4"/>
      <c r="AB322" s="14" t="s">
        <v>1240</v>
      </c>
      <c r="AC322" s="14" t="s">
        <v>348</v>
      </c>
      <c r="AD322" s="4"/>
    </row>
    <row r="323">
      <c r="A323" s="3" t="s">
        <v>930</v>
      </c>
      <c r="B323" s="4" t="s">
        <v>1241</v>
      </c>
      <c r="C323" s="4" t="s">
        <v>1242</v>
      </c>
      <c r="D323" s="4"/>
      <c r="E323" s="3" t="s">
        <v>159</v>
      </c>
      <c r="F323" s="4" t="s">
        <v>1243</v>
      </c>
      <c r="G323" s="6" t="str">
        <f t="shared" si="1"/>
        <v>Link</v>
      </c>
      <c r="H323" s="3" t="s">
        <v>136</v>
      </c>
      <c r="I323" s="8" t="str">
        <f t="shared" si="2"/>
        <v>{"address_components":[{"long_name":"Ban Khlong Son Road","types":["route"],"short_name":"Ban Khlong Son Rd"},{"long_name":"Tambon Ko Chang","short_name":"Tambon Ko Chang","types":["locality","political"]},{"long_name":"Amphoe Ko Chang","short_name":"อ.เกาะช้าง","types":["administrative_area_level_2","political"]},{"long_name":"Chang Wat Trat","types":["administrative_area_level_1","political"],"short_name":"จ.ตราด"},{"long_name":"Thailand","types":["country","political"],"short_name":"TH"},{"long_name":"23170","types":["postal_code"],"short_name":"23170"},{"long_name":"4863+52F","types":["plus_code"],"short_name":"4863+52F"},{"long_name":"Ban Khlong Son Road","short_name":"Ban Khlong Son Rd","types":["route"]},{"types":["locality","political"],"short_name":"Tambon Ko Chang","long_name":"Tambon Ko Chang"},{"types":["administrative_area_level_2","political"],"long_name":"Amphoe Ko Chang","short_name":"อ.เกาะช้าง"},{"long_name":"Chang Wat Trat","short_name":"จ.ตราด","types":["administrative_area_level_1","political"]},{"short_name":"TH","long_name":"Thailand","types":["country","political"]},{"long_name":"23170","short_name":"23170","types":["postal_code"]},{"types":["latitude"],"long_name":12.1104419,"short_name":12.1104419},{"types":["longitude"],"long_name":102.3025325,"short_name":102.3025325}]}</v>
      </c>
      <c r="J323" s="8" t="str">
        <f t="shared" si="3"/>
        <v>[{"long_name":"Ban Khlong Son Road","types":["route"],"short_name":"Ban Khlong Son Rd"},{"long_name":"Tambon Ko Chang","short_name":"Tambon Ko Chang","types":["locality","political"]},{"long_name":"Amphoe Ko Chang","short_name":"อ.เกาะช้าง","types":["administrative_area_level_2","political"]},{"long_name":"Chang Wat Trat","types":["administrative_area_level_1","political"],"short_name":"จ.ตราด"},{"long_name":"Thailand","types":["country","political"],"short_name":"TH"},{"long_name":"23170","types":["postal_code"],"short_name":"23170"},{"long_name":"4863+52F","types":["plus_code"],"short_name":"4863+52F"},{"long_name":"Ban Khlong Son Road","short_name":"Ban Khlong Son Rd","types":["route"]},{"types":["locality","political"],"short_name":"Tambon Ko Chang","long_name":"Tambon Ko Chang"},{"types":["administrative_area_level_2","political"],"long_name":"Amphoe Ko Chang","short_name":"อ.เกาะช้าง"},{"long_name":"Chang Wat Trat","short_name":"จ.ตราด","types":["administrative_area_level_1","political"]},{"short_name":"TH","long_name":"Thailand","types":["country","political"]},{"long_name":"23170","short_name":"23170","types":["postal_code"]},{"types":["latitude"],"long_name":12.1104419,"short_name":12.1104419},{"types":["longitude"],"long_name":102.3025325,"short_name":102.3025325},{"types":["debug_info","cache_load_result"],"long_name":"hit","short_name":"hit"}]</v>
      </c>
      <c r="K323" s="9" t="b">
        <f t="shared" si="387"/>
        <v>0</v>
      </c>
      <c r="L323" s="8" t="b">
        <f t="shared" si="4"/>
        <v>0</v>
      </c>
      <c r="M323" s="10" t="b">
        <v>1</v>
      </c>
      <c r="N323" s="10">
        <v>12.1104419</v>
      </c>
      <c r="O323" s="10">
        <v>102.3025325</v>
      </c>
      <c r="P323" s="10" t="s">
        <v>1244</v>
      </c>
      <c r="Q323" s="10" t="s">
        <v>1245</v>
      </c>
      <c r="R323" s="10">
        <v>23170.0</v>
      </c>
      <c r="S323" s="10" t="s">
        <v>1246</v>
      </c>
      <c r="T323" s="19" t="s">
        <v>56</v>
      </c>
      <c r="U323" s="20" t="s">
        <v>56</v>
      </c>
      <c r="V323" s="18">
        <v>7482.81</v>
      </c>
      <c r="X323" s="4" t="str">
        <f t="shared" si="364"/>
        <v>N/A</v>
      </c>
      <c r="Y323" s="4"/>
      <c r="Z323" s="4" t="s">
        <v>38</v>
      </c>
      <c r="AB323" s="14" t="s">
        <v>1247</v>
      </c>
    </row>
    <row r="324">
      <c r="A324" s="3" t="s">
        <v>1234</v>
      </c>
      <c r="B324" s="4" t="s">
        <v>1248</v>
      </c>
      <c r="C324" s="4" t="s">
        <v>1249</v>
      </c>
      <c r="D324" s="4"/>
      <c r="E324" s="3" t="s">
        <v>134</v>
      </c>
      <c r="F324" s="4" t="s">
        <v>1250</v>
      </c>
      <c r="G324" s="6" t="str">
        <f t="shared" si="1"/>
        <v>Link</v>
      </c>
      <c r="H324" s="3" t="s">
        <v>219</v>
      </c>
      <c r="I324" s="8" t="str">
        <f t="shared" si="2"/>
        <v>{"address_components":[{"short_name":"Nutfield Rd","long_name":"Nutfield Road","types":["route"]},{"long_name":"Merstham","short_name":"Merstham","types":["locality","political"]},{"short_name":"Redhill","types":["postal_town"],"long_name":"Redhill"},{"short_name":"Surrey","types":["administrative_area_level_2","political"],"long_name":"Surrey"},{"short_name":"England","types":["administrative_area_level_1","political"],"long_name":"England"},{"short_name":"GB","types":["country","political"],"long_name":"United Kingdom"},{"long_name":"RH1 3ER","short_name":"RH1 3ER","types":["postal_code"]},{"long_name":"Gatton Park Business Centre","short_name":"Gatton Park Business Centre","types":["premise"]},{"short_name":"6","types":["street_number"],"long_name":"6"},{"short_name":"Wells Pl","long_name":"Wells Place","types":["route"]},{"long_name":"Merstham","types":["locality","political"],"short_name":"Merstham"},{"short_name":"Redhill","long_name":"Redhill","types":["postal_town"]},{"short_name":"Surrey","long_name":"Surrey","types":["administrative_area_level_2","political"]},{"types":["administrative_area_level_1","political"],"long_name":"England","short_name":"England"},{"long_name":"United Kingdom","short_name":"GB","types":["country","political"]},{"short_name":"RH1","long_name":"RH1","types":["postal_code"]},{"types":["latitude"],"long_name":51.2568573,"short_name":51.2568573},{"types":["longitude"],"long_name":-0.154283,"short_name":-0.154283}]}</v>
      </c>
      <c r="J324" s="8" t="str">
        <f t="shared" si="3"/>
        <v>[{"short_name":"Nutfield Rd","long_name":"Nutfield Road","types":["route"]},{"long_name":"Merstham","short_name":"Merstham","types":["locality","political"]},{"short_name":"Redhill","types":["postal_town"],"long_name":"Redhill"},{"short_name":"Surrey","types":["administrative_area_level_2","political"],"long_name":"Surrey"},{"short_name":"England","types":["administrative_area_level_1","political"],"long_name":"England"},{"short_name":"GB","types":["country","political"],"long_name":"United Kingdom"},{"long_name":"RH1 3ER","short_name":"RH1 3ER","types":["postal_code"]},{"long_name":"Gatton Park Business Centre","short_name":"Gatton Park Business Centre","types":["premise"]},{"short_name":"6","types":["street_number"],"long_name":"6"},{"short_name":"Wells Pl","long_name":"Wells Place","types":["route"]},{"long_name":"Merstham","types":["locality","political"],"short_name":"Merstham"},{"short_name":"Redhill","long_name":"Redhill","types":["postal_town"]},{"short_name":"Surrey","long_name":"Surrey","types":["administrative_area_level_2","political"]},{"types":["administrative_area_level_1","political"],"long_name":"England","short_name":"England"},{"long_name":"United Kingdom","short_name":"GB","types":["country","political"]},{"short_name":"RH1","long_name":"RH1","types":["postal_code"]},{"types":["latitude"],"long_name":51.2568573,"short_name":51.2568573},{"types":["longitude"],"long_name":-0.154283,"short_name":-0.154283},{"types":["debug_info","cache_load_result"],"long_name":"hit","short_name":"hit"}]</v>
      </c>
      <c r="K324" s="9" t="b">
        <f t="shared" ref="K324:K332" si="388">NOT(AND(NOT(_xlfn.ISFORMULA(P324)),AND(NOT(_xlfn.ISFORMULA(Q324)),AND(NOT(_xlfn.ISFORMULA(R324)),AND(NOT(_xlfn.ISFORMULA(S324)),AND(NOT(_xlfn.ISFORMULA(T324)),AND(NOT(_xlfn.ISFORMULA(U324)),AND(NOT(_xlfn.ISFORMULA(V324))))))))))</f>
        <v>0</v>
      </c>
      <c r="L324" s="8" t="b">
        <f t="shared" si="4"/>
        <v>0</v>
      </c>
      <c r="M324" s="10" t="b">
        <v>1</v>
      </c>
      <c r="N324" s="8">
        <f t="shared" ref="N324:N335" si="389">GOOGLEMAPS_GET_ADDRESS_LATITUDE(F324,true)</f>
        <v>51.2568573</v>
      </c>
      <c r="O324" s="8">
        <f t="shared" ref="O324:O335" si="390">GOOGLEMAPS_GET_ADDRESS_LONGITUDE(F324,true)</f>
        <v>-0.154283</v>
      </c>
      <c r="P324" s="10" t="s">
        <v>1251</v>
      </c>
      <c r="Q324" s="10" t="s">
        <v>62</v>
      </c>
      <c r="R324" s="10" t="s">
        <v>1252</v>
      </c>
      <c r="S324" s="10" t="s">
        <v>64</v>
      </c>
      <c r="T324" s="19" t="s">
        <v>56</v>
      </c>
      <c r="U324" s="20" t="s">
        <v>56</v>
      </c>
      <c r="V324" s="18">
        <v>4797.0</v>
      </c>
      <c r="X324" s="4" t="str">
        <f t="shared" si="364"/>
        <v>N/A</v>
      </c>
      <c r="Y324" s="4"/>
      <c r="Z324" s="4" t="s">
        <v>38</v>
      </c>
      <c r="AB324" s="14" t="s">
        <v>1253</v>
      </c>
    </row>
    <row r="325">
      <c r="A325" s="5"/>
      <c r="B325" s="4" t="s">
        <v>1254</v>
      </c>
      <c r="C325" s="4" t="s">
        <v>1255</v>
      </c>
      <c r="D325" s="4" t="s">
        <v>1256</v>
      </c>
      <c r="E325" s="5"/>
      <c r="F325" s="4" t="s">
        <v>1254</v>
      </c>
      <c r="G325" s="6" t="str">
        <f t="shared" si="1"/>
        <v>Link</v>
      </c>
      <c r="H325" s="5"/>
      <c r="I325" s="7" t="str">
        <f t="shared" si="2"/>
        <v>{"address_components":[{"types":["locality","political"],"long_name":"Sandy","short_name":"Sandy"},{"short_name":"Salt Lake County","types":["administrative_area_level_2","political"],"long_name":"Salt Lake County"},{"types":["administrative_area_level_1","political"],"long_name":"Utah","short_name":"UT"},{"long_name":"United States","types":["country","political"],"short_name":"US"},{"long_name":"84092","short_name":"84092","types":["postal_code"]},{"short_name":"5051","long_name":"5051","types":["street_number"]},{"short_name":"Little Cottonwood Canyon Rd","types":["route"],"long_name":"Little Cottonwood Canyon Road"},{"short_name":"Sandy","long_name":"Sandy","types":["locality","political"]},{"types":["administrative_area_level_2","political"],"short_name":"Salt Lake County","long_name":"Salt Lake County"},{"long_name":"Utah","short_name":"UT","types":["administrative_area_level_1","political"]},{"long_name":"United States","short_name":"US","types":["country","political"]},{"types":["postal_code"],"long_name":"84092","short_name":"84092"},{"long_name":"6000","short_name":"6000","types":["postal_code_suffix"]},{"types":["latitude"],"long_name":40.5730656,"short_name":40.5730656},{"types":["longitude"],"long_name":-111.7632569,"short_name":-111.7632569}],"duration_from":{"days":{"driving":{"2116 4th Ave, Seattle, WA, 98121":0.5273032407407408}}},"distance_from":{"mi":{"flying":{"2116 4th Ave, Seattle, WA, 98121":714.5270732101359},"driving":{"2116 4th Ave, Seattle, WA, 98121":850.4287471882884}}}}</v>
      </c>
      <c r="J325" s="8" t="str">
        <f t="shared" si="3"/>
        <v>[{"types":["locality","political"],"long_name":"Sandy","short_name":"Sandy"},{"short_name":"Salt Lake County","types":["administrative_area_level_2","political"],"long_name":"Salt Lake County"},{"types":["administrative_area_level_1","political"],"long_name":"Utah","short_name":"UT"},{"long_name":"United States","types":["country","political"],"short_name":"US"},{"long_name":"84092","short_name":"84092","types":["postal_code"]},{"short_name":"5051","long_name":"5051","types":["street_number"]},{"short_name":"Little Cottonwood Canyon Rd","types":["route"],"long_name":"Little Cottonwood Canyon Road"},{"short_name":"Sandy","long_name":"Sandy","types":["locality","political"]},{"types":["administrative_area_level_2","political"],"short_name":"Salt Lake County","long_name":"Salt Lake County"},{"long_name":"Utah","short_name":"UT","types":["administrative_area_level_1","political"]},{"long_name":"United States","short_name":"US","types":["country","political"]},{"types":["postal_code"],"long_name":"84092","short_name":"84092"},{"long_name":"6000","short_name":"6000","types":["postal_code_suffix"]},{"types":["latitude"],"long_name":40.5730656,"short_name":40.5730656},{"types":["longitude"],"long_name":-111.7632569,"short_name":-111.7632569},{"types":["debug_info","cache_load_result"],"long_name":"hit","short_name":"hit"}]</v>
      </c>
      <c r="K325" s="9" t="b">
        <f t="shared" si="388"/>
        <v>1</v>
      </c>
      <c r="L325" s="8" t="b">
        <f t="shared" si="4"/>
        <v>0</v>
      </c>
      <c r="M325" s="10" t="b">
        <v>1</v>
      </c>
      <c r="N325" s="8">
        <f t="shared" si="389"/>
        <v>40.5730656</v>
      </c>
      <c r="O325" s="8">
        <f t="shared" si="390"/>
        <v>-111.7632569</v>
      </c>
      <c r="P325" s="8" t="str">
        <f t="shared" ref="P325:P335" si="391">GOOGLEMAPS_GET_ADDRESS_CITY(F325,true,false)</f>
        <v>Sandy</v>
      </c>
      <c r="Q325" s="8" t="str">
        <f t="shared" ref="Q325:Q335" si="392">GOOGLEMAPS_GET_ADDRESS_STATE(F325,true,false)</f>
        <v>Utah</v>
      </c>
      <c r="R325" s="8" t="str">
        <f t="shared" ref="R325:R335" si="393">GOOGLEMAPS_GET_ADDRESS_POSTAL_CODE(F325,false,false)</f>
        <v>84092</v>
      </c>
      <c r="S325" s="8" t="str">
        <f t="shared" ref="S325:S335" si="394">GOOGLEMAPS_GET_ADDRESS_COUNTRY(F325,true,false)</f>
        <v>United States</v>
      </c>
      <c r="T325" s="11">
        <f t="shared" ref="T325:T335" si="395">IFERROR(GOOGLEMAPS_DISTANCE("2116 4th Ave, Seattle, WA, 98121", F325, "driving")+0,"Not Driveable")</f>
        <v>850.4287472</v>
      </c>
      <c r="U325" s="12">
        <f t="shared" ref="U325:U335" si="396">iferror(GOOGLEMAPS_DURATION("2116 4th Ave, Seattle, WA, 98121", F325, "driving")+0,"Not Driveable")</f>
        <v>0.5273032407</v>
      </c>
      <c r="V325" s="13">
        <f t="shared" ref="V325:V335" si="397">GOOGLEMAPS_DISTANCE("2116 4th Ave, Seattle, WA, 98121", F325, "flying")+0</f>
        <v>714.5270732</v>
      </c>
      <c r="X325" s="4" t="str">
        <f t="shared" si="364"/>
        <v>N/A</v>
      </c>
      <c r="Y325" s="4"/>
      <c r="Z325" s="4" t="s">
        <v>38</v>
      </c>
      <c r="AB325" s="14" t="s">
        <v>69</v>
      </c>
    </row>
    <row r="326" hidden="1">
      <c r="A326" s="5"/>
      <c r="B326" s="4" t="s">
        <v>1257</v>
      </c>
      <c r="C326" s="4" t="s">
        <v>1258</v>
      </c>
      <c r="D326" s="4" t="s">
        <v>1259</v>
      </c>
      <c r="E326" s="5"/>
      <c r="F326" s="4" t="s">
        <v>1257</v>
      </c>
      <c r="G326" s="6" t="str">
        <f t="shared" si="1"/>
        <v>Link</v>
      </c>
      <c r="H326" s="5"/>
      <c r="I326" s="7" t="str">
        <f t="shared" si="2"/>
        <v>{"address_components":[{"long_name":"Lascaux","short_name":"Lascaux","types":["establishment","natural_feature"]},{"long_name":"Montignac-Lascaux","short_name":"Montignac-Lascaux","types":["locality","political"]},{"short_name":"Dordogne","types":["administrative_area_level_2","political"],"long_name":"Dordogne"},{"long_name":"Nouvelle-Aquitaine","short_name":"Nouvelle-Aquitaine","types":["administrative_area_level_1","political"]},{"short_name":"FR","types":["country","political"],"long_name":"France"},{"long_name":"24290","short_name":"24290","types":["postal_code"]},{"long_name":"488","short_name":"488","types":["street_number"]},{"short_name":"Chem. de la Grotte","types":["route"],"long_name":"Chemin de la Grotte"},{"long_name":"Montignac-Lascaux","short_name":"Montignac-Lascaux","types":["locality","political"]},{"long_name":"Dordogne","short_name":"Dordogne","types":["administrative_area_level_2","political"]},{"long_name":"Nouvelle-Aquitaine","short_name":"Nouvelle-Aquitaine","types":["administrative_area_level_1","political"]},{"short_name":"FR","types":["country","political"],"long_name":"France"},{"long_name":"24290","short_name":"24290","types":["postal_code"]},{"types":["latitude"],"long_name":45.053919,"short_name":45.053919},{"types":["longitude"],"long_name":1.167651,"short_name":1.167651}],"distance_from":{"mi":{"driving":{"2116 4th Ave, Seattle, WA, 98121":"GOOGLE_MAPS_ERROR_CACHED - No route found!"},"flying":{"2116 4th Ave, Seattle, WA, 98121":5177.713224054582}}},"duration_from":{"days":{"driving":{"2116 4th Ave, Seattle, WA, 98121":"GOOGLE_MAPS_ERROR_CACHED - No route found!"}}}}</v>
      </c>
      <c r="J326" s="8" t="str">
        <f t="shared" si="3"/>
        <v>[{"long_name":"Lascaux","short_name":"Lascaux","types":["establishment","natural_feature"]},{"long_name":"Montignac-Lascaux","short_name":"Montignac-Lascaux","types":["locality","political"]},{"short_name":"Dordogne","types":["administrative_area_level_2","political"],"long_name":"Dordogne"},{"long_name":"Nouvelle-Aquitaine","short_name":"Nouvelle-Aquitaine","types":["administrative_area_level_1","political"]},{"short_name":"FR","types":["country","political"],"long_name":"France"},{"long_name":"24290","short_name":"24290","types":["postal_code"]},{"long_name":"488","short_name":"488","types":["street_number"]},{"short_name":"Chem. de la Grotte","types":["route"],"long_name":"Chemin de la Grotte"},{"long_name":"Montignac-Lascaux","short_name":"Montignac-Lascaux","types":["locality","political"]},{"long_name":"Dordogne","short_name":"Dordogne","types":["administrative_area_level_2","political"]},{"long_name":"Nouvelle-Aquitaine","short_name":"Nouvelle-Aquitaine","types":["administrative_area_level_1","political"]},{"short_name":"FR","types":["country","political"],"long_name":"France"},{"long_name":"24290","short_name":"24290","types":["postal_code"]},{"types":["latitude"],"long_name":45.053919,"short_name":45.053919},{"types":["longitude"],"long_name":1.167651,"short_name":1.167651},{"types":["debug_info","cache_load_result"],"long_name":"hit","short_name":"hit"}]</v>
      </c>
      <c r="K326" s="9" t="b">
        <f t="shared" si="388"/>
        <v>1</v>
      </c>
      <c r="L326" s="8" t="b">
        <f t="shared" si="4"/>
        <v>0</v>
      </c>
      <c r="M326" s="10" t="b">
        <v>1</v>
      </c>
      <c r="N326" s="8">
        <f t="shared" si="389"/>
        <v>45.053919</v>
      </c>
      <c r="O326" s="8">
        <f t="shared" si="390"/>
        <v>1.167651</v>
      </c>
      <c r="P326" s="8" t="str">
        <f t="shared" si="391"/>
        <v>Montignac-Lascaux</v>
      </c>
      <c r="Q326" s="8" t="str">
        <f t="shared" si="392"/>
        <v>Nouvelle-Aquitaine</v>
      </c>
      <c r="R326" s="8" t="str">
        <f t="shared" si="393"/>
        <v>24290</v>
      </c>
      <c r="S326" s="8" t="str">
        <f t="shared" si="394"/>
        <v>France</v>
      </c>
      <c r="T326" s="11" t="str">
        <f t="shared" si="395"/>
        <v>Not Driveable</v>
      </c>
      <c r="U326" s="12" t="str">
        <f t="shared" si="396"/>
        <v>Not Driveable</v>
      </c>
      <c r="V326" s="13">
        <f t="shared" si="397"/>
        <v>5177.713224</v>
      </c>
      <c r="X326" s="4" t="str">
        <f t="shared" si="364"/>
        <v>N/A</v>
      </c>
      <c r="Y326" s="4"/>
      <c r="Z326" s="4" t="s">
        <v>38</v>
      </c>
      <c r="AB326" s="14" t="s">
        <v>69</v>
      </c>
    </row>
    <row r="327">
      <c r="A327" s="5"/>
      <c r="B327" s="4" t="s">
        <v>1260</v>
      </c>
      <c r="C327" s="4" t="s">
        <v>1261</v>
      </c>
      <c r="D327" s="4" t="s">
        <v>1262</v>
      </c>
      <c r="E327" s="5"/>
      <c r="F327" s="4" t="s">
        <v>1260</v>
      </c>
      <c r="G327" s="6" t="str">
        <f t="shared" si="1"/>
        <v>Link</v>
      </c>
      <c r="H327" s="5"/>
      <c r="I327" s="7" t="str">
        <f t="shared" si="2"/>
        <v>{"address_components":[{"types":["street_number"],"long_name":"5","short_name":"5"},{"long_name":"Ulitsa Samoylovoy","short_name":"Ulitsa Samoylovoy","types":["route"]},{"long_name":"Murmansk","types":["locality","political"],"short_name":"Murmansk"},{"long_name":"Gorod Murmansk","short_name":"Gorod Murmansk","types":["administrative_area_level_2","political"]},{"long_name":"Murmanskaya oblast'","short_name":"Murmanskaya oblast'","types":["administrative_area_level_1","political"]},{"types":["country","political"],"long_name":"Russia","short_name":"RU"},{"types":["postal_code"],"short_name":"183036","long_name":"183036"},{"long_name":"д.5","short_name":"д.5","types":["street_number"]},{"long_name":"Ulitsa Samoylovoy","short_name":"Ulitsa Samoylovoy","types":["route"]},{"short_name":"Murmansk","types":["locality","political"],"long_name":"Murmansk"},{"long_name":"Gorod Murmansk","short_name":"Gorod Murmansk","types":["administrative_area_level_2","political"]},{"long_name":"Murmanskaya oblast'","short_name":"Murmanskaya oblast'","types":["administrative_area_level_1","political"]},{"types":["country","political"],"short_name":"RU","long_name":"Russia"},{"types":["postal_code"],"long_name":"183038","short_name":"183038"},{"types":["latitude"],"long_name":68.96750469999999,"short_name":68.96750469999999},{"types":["longitude"],"long_name":33.0712075,"short_name":33.0712075}],"distance_from":{"mi":{"flying":{"2116 4th Ave, Seattle, WA, 98121":4284.055575577566},"driving":{"2116 4th Ave, Seattle, WA, 98121":"GOOGLE_MAPS_ERROR_CACHED - No route found!"}}},"duration_from":{"days":{"driving":{"2116 4th Ave, Seattle, WA, 98121":"GOOGLE_MAPS_ERROR_CACHED - No route found!"}}}}</v>
      </c>
      <c r="J327" s="8" t="str">
        <f t="shared" si="3"/>
        <v>[{"types":["street_number"],"long_name":"5","short_name":"5"},{"long_name":"Ulitsa Samoylovoy","short_name":"Ulitsa Samoylovoy","types":["route"]},{"long_name":"Murmansk","types":["locality","political"],"short_name":"Murmansk"},{"long_name":"Gorod Murmansk","short_name":"Gorod Murmansk","types":["administrative_area_level_2","political"]},{"long_name":"Murmanskaya oblast'","short_name":"Murmanskaya oblast'","types":["administrative_area_level_1","political"]},{"types":["country","political"],"long_name":"Russia","short_name":"RU"},{"types":["postal_code"],"short_name":"183036","long_name":"183036"},{"long_name":"д.5","short_name":"д.5","types":["street_number"]},{"long_name":"Ulitsa Samoylovoy","short_name":"Ulitsa Samoylovoy","types":["route"]},{"short_name":"Murmansk","types":["locality","political"],"long_name":"Murmansk"},{"long_name":"Gorod Murmansk","short_name":"Gorod Murmansk","types":["administrative_area_level_2","political"]},{"long_name":"Murmanskaya oblast'","short_name":"Murmanskaya oblast'","types":["administrative_area_level_1","political"]},{"types":["country","political"],"short_name":"RU","long_name":"Russia"},{"types":["postal_code"],"long_name":"183038","short_name":"183038"},{"types":["latitude"],"long_name":68.96750469999999,"short_name":68.96750469999999},{"types":["longitude"],"long_name":33.0712075,"short_name":33.0712075},{"types":["debug_info","cache_load_result"],"long_name":"hit","short_name":"hit"}]</v>
      </c>
      <c r="K327" s="9" t="b">
        <f t="shared" si="388"/>
        <v>1</v>
      </c>
      <c r="L327" s="8" t="b">
        <f t="shared" si="4"/>
        <v>0</v>
      </c>
      <c r="M327" s="10" t="b">
        <v>1</v>
      </c>
      <c r="N327" s="8">
        <f t="shared" si="389"/>
        <v>68.9675047</v>
      </c>
      <c r="O327" s="8">
        <f t="shared" si="390"/>
        <v>33.0712075</v>
      </c>
      <c r="P327" s="8" t="str">
        <f t="shared" si="391"/>
        <v>Murmansk</v>
      </c>
      <c r="Q327" s="8" t="str">
        <f t="shared" si="392"/>
        <v>Murmanskaya oblast'</v>
      </c>
      <c r="R327" s="8" t="str">
        <f t="shared" si="393"/>
        <v>183036</v>
      </c>
      <c r="S327" s="8" t="str">
        <f t="shared" si="394"/>
        <v>Russia</v>
      </c>
      <c r="T327" s="11" t="str">
        <f t="shared" si="395"/>
        <v>Not Driveable</v>
      </c>
      <c r="U327" s="12" t="str">
        <f t="shared" si="396"/>
        <v>Not Driveable</v>
      </c>
      <c r="V327" s="13">
        <f t="shared" si="397"/>
        <v>4284.055576</v>
      </c>
      <c r="X327" s="4" t="str">
        <f t="shared" si="364"/>
        <v>N/A</v>
      </c>
      <c r="Y327" s="4"/>
      <c r="Z327" s="4" t="s">
        <v>38</v>
      </c>
      <c r="AB327" s="14" t="s">
        <v>69</v>
      </c>
    </row>
    <row r="328">
      <c r="A328" s="5"/>
      <c r="B328" s="4" t="s">
        <v>1263</v>
      </c>
      <c r="C328" s="4" t="s">
        <v>1264</v>
      </c>
      <c r="D328" s="4" t="s">
        <v>1265</v>
      </c>
      <c r="E328" s="5"/>
      <c r="F328" s="4" t="s">
        <v>1263</v>
      </c>
      <c r="G328" s="6" t="str">
        <f t="shared" si="1"/>
        <v>Link</v>
      </c>
      <c r="H328" s="5"/>
      <c r="I328" s="8" t="str">
        <f t="shared" si="2"/>
        <v>{"address_components":[{"types":["locality","political"],"long_name":"Mezhgor'e","short_name":"Mezhgor'e"},{"short_name":"Beloretsky District","long_name":"Beloretsky District","types":["administrative_area_level_2","political"]},{"long_name":"Republic of Bashkortostan","types":["administrative_area_level_1","political"],"short_name":"Republic of Bashkortostan"},{"types":["country","political"],"short_name":"RU","long_name":"Russia"},{"types":["plus_code"],"long_name":"6XQ6+F8","short_name":"6XQ6+F8"},{"long_name":"Mezhgor'e","short_name":"Mezhgor'e","types":["locality","political"]},{"long_name":"Beloretsky District","types":["administrative_area_level_2","political"],"short_name":"Beloretsky District"},{"types":["administrative_area_level_1","political"],"short_name":"Republic of Bashkortostan","long_name":"Republic of Bashkortostan"},{"long_name":"Russia","types":["country","political"],"short_name":"RU"},{"types":["latitude"],"long_name":54.2386566,"short_name":54.2386566},{"types":["longitude"],"long_name":57.96077390000001,"short_name":57.96077390000001}],"distance_from":{"mi":{"flying":{"2116 4th Ave, Seattle, WA, 98121":5399.420880609443},"driving":{"2116 4th Ave, Seattle, WA, 98121":"GOOGLE_MAPS_ERROR_CACHED - No route found!"}}},"duration_from":{"days":{"driving":{"2116 4th Ave, Seattle, WA, 98121":"GOOGLE_MAPS_ERROR_CACHED - No route found!"}}}}</v>
      </c>
      <c r="J328" s="8" t="str">
        <f t="shared" si="3"/>
        <v>[{"types":["locality","political"],"long_name":"Mezhgor'e","short_name":"Mezhgor'e"},{"short_name":"Beloretsky District","long_name":"Beloretsky District","types":["administrative_area_level_2","political"]},{"long_name":"Republic of Bashkortostan","types":["administrative_area_level_1","political"],"short_name":"Republic of Bashkortostan"},{"types":["country","political"],"short_name":"RU","long_name":"Russia"},{"types":["plus_code"],"long_name":"6XQ6+F8","short_name":"6XQ6+F8"},{"long_name":"Mezhgor'e","short_name":"Mezhgor'e","types":["locality","political"]},{"long_name":"Beloretsky District","types":["administrative_area_level_2","political"],"short_name":"Beloretsky District"},{"types":["administrative_area_level_1","political"],"short_name":"Republic of Bashkortostan","long_name":"Republic of Bashkortostan"},{"long_name":"Russia","types":["country","political"],"short_name":"RU"},{"types":["latitude"],"long_name":54.2386566,"short_name":54.2386566},{"types":["longitude"],"long_name":57.96077390000001,"short_name":57.96077390000001},{"types":["debug_info","cache_load_result"],"long_name":"hit","short_name":"hit"}]</v>
      </c>
      <c r="K328" s="9" t="b">
        <f t="shared" si="388"/>
        <v>1</v>
      </c>
      <c r="L328" s="8" t="b">
        <f t="shared" si="4"/>
        <v>0</v>
      </c>
      <c r="M328" s="10" t="b">
        <v>1</v>
      </c>
      <c r="N328" s="8">
        <f t="shared" si="389"/>
        <v>54.2386566</v>
      </c>
      <c r="O328" s="8">
        <f t="shared" si="390"/>
        <v>57.9607739</v>
      </c>
      <c r="P328" s="8" t="str">
        <f t="shared" si="391"/>
        <v>Mezhgor'e</v>
      </c>
      <c r="Q328" s="8" t="str">
        <f t="shared" si="392"/>
        <v>Republic of Bashkortostan</v>
      </c>
      <c r="R328" s="8" t="str">
        <f t="shared" si="393"/>
        <v>UNDEFINED</v>
      </c>
      <c r="S328" s="8" t="str">
        <f t="shared" si="394"/>
        <v>Russia</v>
      </c>
      <c r="T328" s="11" t="str">
        <f t="shared" si="395"/>
        <v>Not Driveable</v>
      </c>
      <c r="U328" s="12" t="str">
        <f t="shared" si="396"/>
        <v>Not Driveable</v>
      </c>
      <c r="V328" s="13">
        <f t="shared" si="397"/>
        <v>5399.420881</v>
      </c>
      <c r="X328" s="4" t="str">
        <f t="shared" si="364"/>
        <v>N/A</v>
      </c>
      <c r="Y328" s="4"/>
      <c r="Z328" s="4" t="s">
        <v>38</v>
      </c>
      <c r="AB328" s="14" t="s">
        <v>69</v>
      </c>
    </row>
    <row r="329">
      <c r="A329" s="5"/>
      <c r="B329" s="4" t="s">
        <v>1266</v>
      </c>
      <c r="C329" s="4" t="s">
        <v>1267</v>
      </c>
      <c r="D329" s="4" t="s">
        <v>1268</v>
      </c>
      <c r="E329" s="5"/>
      <c r="F329" s="4" t="s">
        <v>1266</v>
      </c>
      <c r="G329" s="6" t="str">
        <f t="shared" si="1"/>
        <v>Link</v>
      </c>
      <c r="H329" s="5"/>
      <c r="I329" s="8" t="str">
        <f t="shared" si="2"/>
        <v>{"address_components":[{"long_name":"Poveglia","short_name":"Poveglia","types":["establishment","natural_feature"]},{"long_name":"Venice","types":["locality","political"],"short_name":"Venice"},{"long_name":"Venice","types":["administrative_area_level_3","political"],"short_name":"Venice"},{"types":["administrative_area_level_2","political"],"long_name":"Metropolitan City of Venice","short_name":"VE"},{"long_name":"Veneto","types":["administrative_area_level_1","political"],"short_name":"Veneto"},{"short_name":"IT","long_name":"Italy","types":["country","political"]},{"types":["postal_code"],"long_name":"30126","short_name":"30126"},{"long_name":"98JJ+F8","types":["plus_code"],"short_name":"98JJ+F8"},{"long_name":"Venice","types":["locality","political"],"short_name":"Venice"},{"long_name":"Venice","types":["administrative_area_level_3","political"],"short_name":"Venice"},{"long_name":"Metropolitan City of Venice","types":["administrative_area_level_2","political"],"short_name":"VE"},{"long_name":"Veneto","short_name":"Veneto","types":["administrative_area_level_1","political"]},{"long_name":"Italy","types":["country","political"],"short_name":"IT"},{"short_name":"30126","long_name":"30126","types":["postal_code"]},{"types":["latitude"],"long_name":45.3818788,"short_name":45.3818788},{"types":["longitude"],"long_name":12.331196,"short_name":12.331196}],"distance_from":{"mi":{"flying":{"2116 4th Ave, Seattle, WA, 98121":5450.086992183131},"driving":{"2116 4th Ave, Seattle, WA, 98121":"GOOGLE_MAPS_ERROR_CACHED - No route found!"}}},"duration_from":{"days":{"driving":{"2116 4th Ave, Seattle, WA, 98121":"GOOGLE_MAPS_ERROR_CACHED - No route found!"}}}}</v>
      </c>
      <c r="J329" s="8" t="str">
        <f t="shared" si="3"/>
        <v>[{"long_name":"Poveglia","short_name":"Poveglia","types":["establishment","natural_feature"]},{"long_name":"Venice","types":["locality","political"],"short_name":"Venice"},{"long_name":"Venice","types":["administrative_area_level_3","political"],"short_name":"Venice"},{"types":["administrative_area_level_2","political"],"long_name":"Metropolitan City of Venice","short_name":"VE"},{"long_name":"Veneto","types":["administrative_area_level_1","political"],"short_name":"Veneto"},{"short_name":"IT","long_name":"Italy","types":["country","political"]},{"types":["postal_code"],"long_name":"30126","short_name":"30126"},{"long_name":"98JJ+F8","types":["plus_code"],"short_name":"98JJ+F8"},{"long_name":"Venice","types":["locality","political"],"short_name":"Venice"},{"long_name":"Venice","types":["administrative_area_level_3","political"],"short_name":"Venice"},{"long_name":"Metropolitan City of Venice","types":["administrative_area_level_2","political"],"short_name":"VE"},{"long_name":"Veneto","short_name":"Veneto","types":["administrative_area_level_1","political"]},{"long_name":"Italy","types":["country","political"],"short_name":"IT"},{"short_name":"30126","long_name":"30126","types":["postal_code"]},{"types":["latitude"],"long_name":45.3818788,"short_name":45.3818788},{"types":["longitude"],"long_name":12.331196,"short_name":12.331196},{"types":["debug_info","cache_load_result"],"long_name":"hit","short_name":"hit"}]</v>
      </c>
      <c r="K329" s="9" t="b">
        <f t="shared" si="388"/>
        <v>1</v>
      </c>
      <c r="L329" s="8" t="b">
        <f t="shared" si="4"/>
        <v>0</v>
      </c>
      <c r="M329" s="10" t="b">
        <v>1</v>
      </c>
      <c r="N329" s="8">
        <f t="shared" si="389"/>
        <v>45.3818788</v>
      </c>
      <c r="O329" s="8">
        <f t="shared" si="390"/>
        <v>12.331196</v>
      </c>
      <c r="P329" s="8" t="str">
        <f t="shared" si="391"/>
        <v>Venice</v>
      </c>
      <c r="Q329" s="8" t="str">
        <f t="shared" si="392"/>
        <v>Veneto</v>
      </c>
      <c r="R329" s="8" t="str">
        <f t="shared" si="393"/>
        <v>30126</v>
      </c>
      <c r="S329" s="8" t="str">
        <f t="shared" si="394"/>
        <v>Italy</v>
      </c>
      <c r="T329" s="11" t="str">
        <f t="shared" si="395"/>
        <v>Not Driveable</v>
      </c>
      <c r="U329" s="12" t="str">
        <f t="shared" si="396"/>
        <v>Not Driveable</v>
      </c>
      <c r="V329" s="13">
        <f t="shared" si="397"/>
        <v>5450.086992</v>
      </c>
      <c r="X329" s="4" t="str">
        <f t="shared" si="364"/>
        <v>N/A</v>
      </c>
      <c r="Y329" s="4"/>
      <c r="Z329" s="4" t="s">
        <v>38</v>
      </c>
      <c r="AB329" s="14" t="s">
        <v>69</v>
      </c>
    </row>
    <row r="330">
      <c r="A330" s="5"/>
      <c r="B330" s="4" t="s">
        <v>1269</v>
      </c>
      <c r="C330" s="4" t="s">
        <v>1270</v>
      </c>
      <c r="D330" s="4" t="s">
        <v>1271</v>
      </c>
      <c r="E330" s="5"/>
      <c r="F330" s="4" t="s">
        <v>1269</v>
      </c>
      <c r="G330" s="6" t="str">
        <f t="shared" si="1"/>
        <v>Link</v>
      </c>
      <c r="H330" s="5"/>
      <c r="I330" s="7" t="str">
        <f t="shared" si="2"/>
        <v>{"address_components":[{"long_name":"Uluru","types":["establishment","natural_feature"],"short_name":"Uluru"},{"long_name":"Petermann","short_name":"Petermann","types":["locality","political"]},{"long_name":"MacDonnell Region","short_name":"MacDonnell Region","types":["administrative_area_level_2","political"]},{"long_name":"Northern Territory","short_name":"NT","types":["administrative_area_level_1","political"]},{"short_name":"AU","long_name":"Australia","types":["country","political"]},{"long_name":"0872","short_name":"0872","types":["postal_code"]},{"short_name":"5Q6HM24P+6Q","types":["plus_code"],"long_name":"5Q6HM24P+6Q"},{"types":["latitude"],"long_name":-25.3444277,"short_name":-25.3444277},{"types":["longitude"],"long_name":131.0368822,"short_name":131.0368822}],"duration_from":{"days":{"driving":{"2116 4th Ave, Seattle, WA, 98121":"GOOGLE_MAPS_ERROR_CACHED - No route found!"}}},"distance_from":{"mi":{"flying":{"2116 4th Ave, Seattle, WA, 98121":8247.672959101246},"driving":{"2116 4th Ave, Seattle, WA, 98121":"GOOGLE_MAPS_ERROR_CACHED - No route found!"}}}}</v>
      </c>
      <c r="J330" s="8" t="str">
        <f t="shared" si="3"/>
        <v>[{"long_name":"Uluru","types":["establishment","natural_feature"],"short_name":"Uluru"},{"long_name":"Petermann","short_name":"Petermann","types":["locality","political"]},{"long_name":"MacDonnell Region","short_name":"MacDonnell Region","types":["administrative_area_level_2","political"]},{"long_name":"Northern Territory","short_name":"NT","types":["administrative_area_level_1","political"]},{"short_name":"AU","long_name":"Australia","types":["country","political"]},{"long_name":"0872","short_name":"0872","types":["postal_code"]},{"short_name":"5Q6HM24P+6Q","types":["plus_code"],"long_name":"5Q6HM24P+6Q"},{"types":["latitude"],"long_name":-25.3444277,"short_name":-25.3444277},{"types":["longitude"],"long_name":131.0368822,"short_name":131.0368822},{"types":["debug_info","cache_load_result"],"long_name":"hit","short_name":"hit"}]</v>
      </c>
      <c r="K330" s="9" t="b">
        <f t="shared" si="388"/>
        <v>1</v>
      </c>
      <c r="L330" s="8" t="b">
        <f t="shared" si="4"/>
        <v>0</v>
      </c>
      <c r="M330" s="10" t="b">
        <v>1</v>
      </c>
      <c r="N330" s="8">
        <f t="shared" si="389"/>
        <v>-25.3444277</v>
      </c>
      <c r="O330" s="8">
        <f t="shared" si="390"/>
        <v>131.0368822</v>
      </c>
      <c r="P330" s="8" t="str">
        <f t="shared" si="391"/>
        <v>Petermann</v>
      </c>
      <c r="Q330" s="8" t="str">
        <f t="shared" si="392"/>
        <v>Northern Territory</v>
      </c>
      <c r="R330" s="8" t="str">
        <f t="shared" si="393"/>
        <v>0872</v>
      </c>
      <c r="S330" s="8" t="str">
        <f t="shared" si="394"/>
        <v>Australia</v>
      </c>
      <c r="T330" s="11" t="str">
        <f t="shared" si="395"/>
        <v>Not Driveable</v>
      </c>
      <c r="U330" s="12" t="str">
        <f t="shared" si="396"/>
        <v>Not Driveable</v>
      </c>
      <c r="V330" s="13">
        <f t="shared" si="397"/>
        <v>8247.672959</v>
      </c>
      <c r="X330" s="4" t="str">
        <f t="shared" si="364"/>
        <v>N/A</v>
      </c>
      <c r="Y330" s="4"/>
      <c r="Z330" s="4" t="s">
        <v>38</v>
      </c>
      <c r="AB330" s="14" t="s">
        <v>69</v>
      </c>
    </row>
    <row r="331" hidden="1">
      <c r="A331" s="5"/>
      <c r="B331" s="4" t="s">
        <v>1272</v>
      </c>
      <c r="C331" s="4" t="s">
        <v>1273</v>
      </c>
      <c r="D331" s="4" t="s">
        <v>1274</v>
      </c>
      <c r="E331" s="5"/>
      <c r="F331" s="4" t="s">
        <v>1272</v>
      </c>
      <c r="G331" s="6" t="str">
        <f t="shared" si="1"/>
        <v>Link</v>
      </c>
      <c r="H331" s="5"/>
      <c r="I331" s="8" t="str">
        <f t="shared" si="2"/>
        <v>{"address_components":[{"long_name":"Snake Island","short_name":"Snake Island","types":["establishment","natural_feature"]},{"long_name":"State of São Paulo","short_name":"SP","types":["administrative_area_level_1","political"]},{"short_name":"BR","types":["country","political"],"long_name":"Brazil"},{"short_name":"G86G+R8","types":["plus_code"],"long_name":"G86G+R8"},{"long_name":"Itanhaém","short_name":"Itanhaém","types":["administrative_area_level_2","political"]},{"long_name":"State of São Paulo","short_name":"SP","types":["administrative_area_level_1","political"]},{"long_name":"Brazil","short_name":"BR","types":["country","political"]},{"long_name":"11740-000","short_name":"11740-000","types":["postal_code"]},{"types":["latitude"],"long_name":-24.4879217,"short_name":-24.4879217},{"types":["longitude"],"long_name":-46.6741555,"short_name":-46.6741555}],"duration_from":{"days":{"driving":{"2116 4th Ave, Seattle, WA, 98121":"GOOGLE_MAPS_ERROR_CACHED - No route found!"}}},"distance_from":{"mi":{"driving":{"2116 4th Ave, Seattle, WA, 98121":"GOOGLE_MAPS_ERROR_CACHED - No route found!"},"flying":{"2116 4th Ave, Seattle, WA, 98121":6831.686902705457}}}}</v>
      </c>
      <c r="J331" s="8" t="str">
        <f t="shared" si="3"/>
        <v>[{"long_name":"Snake Island","short_name":"Snake Island","types":["establishment","natural_feature"]},{"long_name":"State of São Paulo","short_name":"SP","types":["administrative_area_level_1","political"]},{"short_name":"BR","types":["country","political"],"long_name":"Brazil"},{"short_name":"G86G+R8","types":["plus_code"],"long_name":"G86G+R8"},{"long_name":"Itanhaém","short_name":"Itanhaém","types":["administrative_area_level_2","political"]},{"long_name":"State of São Paulo","short_name":"SP","types":["administrative_area_level_1","political"]},{"long_name":"Brazil","short_name":"BR","types":["country","political"]},{"long_name":"11740-000","short_name":"11740-000","types":["postal_code"]},{"types":["latitude"],"long_name":-24.4879217,"short_name":-24.4879217},{"types":["longitude"],"long_name":-46.6741555,"short_name":-46.6741555},{"types":["debug_info","cache_load_result"],"long_name":"hit","short_name":"hit"}]</v>
      </c>
      <c r="K331" s="9" t="b">
        <f t="shared" si="388"/>
        <v>1</v>
      </c>
      <c r="L331" s="8" t="b">
        <f t="shared" si="4"/>
        <v>0</v>
      </c>
      <c r="M331" s="10" t="b">
        <v>1</v>
      </c>
      <c r="N331" s="8">
        <f t="shared" si="389"/>
        <v>-24.4879217</v>
      </c>
      <c r="O331" s="8">
        <f t="shared" si="390"/>
        <v>-46.6741555</v>
      </c>
      <c r="P331" s="8" t="str">
        <f t="shared" si="391"/>
        <v>UNDEFINED</v>
      </c>
      <c r="Q331" s="8" t="str">
        <f t="shared" si="392"/>
        <v>State of São Paulo</v>
      </c>
      <c r="R331" s="8" t="str">
        <f t="shared" si="393"/>
        <v>11740-000</v>
      </c>
      <c r="S331" s="8" t="str">
        <f t="shared" si="394"/>
        <v>Brazil</v>
      </c>
      <c r="T331" s="11" t="str">
        <f t="shared" si="395"/>
        <v>Not Driveable</v>
      </c>
      <c r="U331" s="12" t="str">
        <f t="shared" si="396"/>
        <v>Not Driveable</v>
      </c>
      <c r="V331" s="13">
        <f t="shared" si="397"/>
        <v>6831.686903</v>
      </c>
      <c r="W331" s="4"/>
      <c r="X331" s="4" t="str">
        <f t="shared" si="364"/>
        <v>N/A</v>
      </c>
      <c r="Y331" s="4"/>
      <c r="Z331" s="4" t="s">
        <v>38</v>
      </c>
      <c r="AB331" s="14" t="s">
        <v>69</v>
      </c>
    </row>
    <row r="332">
      <c r="A332" s="5"/>
      <c r="B332" s="4" t="s">
        <v>1275</v>
      </c>
      <c r="C332" s="4" t="s">
        <v>1276</v>
      </c>
      <c r="D332" s="4" t="s">
        <v>1277</v>
      </c>
      <c r="E332" s="5"/>
      <c r="F332" s="4" t="s">
        <v>1275</v>
      </c>
      <c r="G332" s="6" t="str">
        <f t="shared" si="1"/>
        <v>Link</v>
      </c>
      <c r="H332" s="5"/>
      <c r="I332" s="7" t="str">
        <f t="shared" si="2"/>
        <v>{"address_components":[{"long_name":"Albatross Island","types":["establishment","natural_feature"],"short_name":"Albatross Island"},{"long_name":"Circular Head Council","types":["administrative_area_level_2","political"],"short_name":"Circular Head"},{"short_name":"TAS","types":["administrative_area_level_1","political"],"long_name":"Tasmania"},{"short_name":"AU","types":["country","political"],"long_name":"Australia"},{"short_name":"4RF6JMF4+56","long_name":"4RF6JMF4+56","types":["plus_code"]},{"types":["latitude"],"long_name":-40.377044,"short_name":-40.377044},{"types":["longitude"],"long_name":144.6555412,"short_name":144.6555412}],"distance_from":{"mi":{"flying":{"2116 4th Ave, Seattle, WA, 98121":8315.917705394759},"driving":{"2116 4th Ave, Seattle, WA, 98121":"GOOGLE_MAPS_ERROR_CACHED - No route found!"}}},"duration_from":{"days":{"driving":{"2116 4th Ave, Seattle, WA, 98121":"GOOGLE_MAPS_ERROR_CACHED - No route found!"}}}}</v>
      </c>
      <c r="J332" s="8" t="str">
        <f t="shared" si="3"/>
        <v>[{"long_name":"Albatross Island","types":["establishment","natural_feature"],"short_name":"Albatross Island"},{"long_name":"Circular Head Council","types":["administrative_area_level_2","political"],"short_name":"Circular Head"},{"short_name":"TAS","types":["administrative_area_level_1","political"],"long_name":"Tasmania"},{"short_name":"AU","types":["country","political"],"long_name":"Australia"},{"short_name":"4RF6JMF4+56","long_name":"4RF6JMF4+56","types":["plus_code"]},{"types":["latitude"],"long_name":-40.377044,"short_name":-40.377044},{"types":["longitude"],"long_name":144.6555412,"short_name":144.6555412},{"types":["debug_info","cache_load_result"],"long_name":"hit","short_name":"hit"}]</v>
      </c>
      <c r="K332" s="9" t="b">
        <f t="shared" si="388"/>
        <v>1</v>
      </c>
      <c r="L332" s="8" t="b">
        <f t="shared" si="4"/>
        <v>0</v>
      </c>
      <c r="M332" s="10" t="b">
        <v>1</v>
      </c>
      <c r="N332" s="8">
        <f t="shared" si="389"/>
        <v>-40.377044</v>
      </c>
      <c r="O332" s="8">
        <f t="shared" si="390"/>
        <v>144.6555412</v>
      </c>
      <c r="P332" s="8" t="str">
        <f t="shared" si="391"/>
        <v>UNDEFINED</v>
      </c>
      <c r="Q332" s="8" t="str">
        <f t="shared" si="392"/>
        <v>Tasmania</v>
      </c>
      <c r="R332" s="8" t="str">
        <f t="shared" si="393"/>
        <v>UNDEFINED</v>
      </c>
      <c r="S332" s="8" t="str">
        <f t="shared" si="394"/>
        <v>Australia</v>
      </c>
      <c r="T332" s="11" t="str">
        <f t="shared" si="395"/>
        <v>Not Driveable</v>
      </c>
      <c r="U332" s="12" t="str">
        <f t="shared" si="396"/>
        <v>Not Driveable</v>
      </c>
      <c r="V332" s="13">
        <f t="shared" si="397"/>
        <v>8315.917705</v>
      </c>
      <c r="X332" s="4" t="str">
        <f t="shared" si="364"/>
        <v>N/A</v>
      </c>
      <c r="Y332" s="4"/>
      <c r="Z332" s="4" t="s">
        <v>38</v>
      </c>
      <c r="AB332" s="14" t="s">
        <v>69</v>
      </c>
    </row>
    <row r="333" hidden="1">
      <c r="A333" s="5"/>
      <c r="B333" s="4" t="s">
        <v>1278</v>
      </c>
      <c r="C333" s="4" t="s">
        <v>1279</v>
      </c>
      <c r="D333" s="4" t="s">
        <v>1280</v>
      </c>
      <c r="E333" s="5"/>
      <c r="F333" s="4" t="s">
        <v>1278</v>
      </c>
      <c r="G333" s="6" t="str">
        <f t="shared" si="1"/>
        <v>Link</v>
      </c>
      <c r="H333" s="5"/>
      <c r="I333" s="7" t="str">
        <f t="shared" si="2"/>
        <v>{"address_components":[{"long_name":"Mount Weather Emergency Operations Center","short_name":"Mt Weather Emergency Operations Center","types":["locality","political"]},{"long_name":"Loudoun County","short_name":"Loudoun County","types":["administrative_area_level_2","political"]},{"types":["administrative_area_level_1","political"],"short_name":"VA","long_name":"Virginia"},{"long_name":"United States","short_name":"US","types":["country","political"]},{"long_name":"20135","short_name":"20135","types":["postal_code"]},{"long_name":"19850","short_name":"19850","types":["street_number"]},{"short_name":"Blueridge Mountain Rd S","long_name":"Blueridge Mountain Road South","types":["route"]},{"long_name":"Mount Weather","short_name":"Mount Weather","types":["locality","political"]},{"long_name":"Loudoun County","short_name":"Loudoun County","types":["administrative_area_level_2","political"]},{"long_name":"Virginia","short_name":"VA","types":["administrative_area_level_1","political"]},{"long_name":"United States","short_name":"US","types":["country","political"]},{"types":["postal_code"],"short_name":"20135","long_name":"20135"},{"short_name":"2006","types":["postal_code_suffix"],"long_name":"2006"},{"types":["latitude"],"long_name":39.0628804,"short_name":39.0628804},{"types":["longitude"],"long_name":-77.8878721,"short_name":-77.8878721}],"distance_from":{"mi":{"flying":{"2116 4th Ave, Seattle, WA, 98121":2277.055811699206},"driving":{"2116 4th Ave, Seattle, WA, 98121":2708.5252339468357}}},"duration_from":{"days":{"driving":{"2116 4th Ave, Seattle, WA, 98121":1.6751041666666666}}}}</v>
      </c>
      <c r="J333" s="8" t="str">
        <f t="shared" si="3"/>
        <v>[{"long_name":"Mount Weather Emergency Operations Center","short_name":"Mt Weather Emergency Operations Center","types":["locality","political"]},{"long_name":"Loudoun County","short_name":"Loudoun County","types":["administrative_area_level_2","political"]},{"types":["administrative_area_level_1","political"],"short_name":"VA","long_name":"Virginia"},{"long_name":"United States","short_name":"US","types":["country","political"]},{"long_name":"20135","short_name":"20135","types":["postal_code"]},{"long_name":"19850","short_name":"19850","types":["street_number"]},{"short_name":"Blueridge Mountain Rd S","long_name":"Blueridge Mountain Road South","types":["route"]},{"long_name":"Mount Weather","short_name":"Mount Weather","types":["locality","political"]},{"long_name":"Loudoun County","short_name":"Loudoun County","types":["administrative_area_level_2","political"]},{"long_name":"Virginia","short_name":"VA","types":["administrative_area_level_1","political"]},{"long_name":"United States","short_name":"US","types":["country","political"]},{"types":["postal_code"],"short_name":"20135","long_name":"20135"},{"short_name":"2006","types":["postal_code_suffix"],"long_name":"2006"},{"types":["latitude"],"long_name":39.0628804,"short_name":39.0628804},{"types":["longitude"],"long_name":-77.8878721,"short_name":-77.8878721},{"types":["debug_info","cache_load_result"],"long_name":"hit","short_name":"hit"}]</v>
      </c>
      <c r="K333" s="9" t="b">
        <f>NOT(AND(NOT(_xlfn.ISFORMULA(P333)),AND(NOT(_xlfn.ISFORMULA(Q333)),AND(NOT(_xlfn.ISFORMULA(R333)),AND(NOT(_xlfn.ISFORMULA(S333)),AND(NOT(_xlfn.ISFORMULA(T333)),AND(NOT(_xlfn.ISFORMULA(U333)),AND(NOT(_xlfn.ISFORMULA(V333)),AND(NOT(_xlfn.ISFORMULA(N333)),NOT(_xlfn.ISFORMULA(O333)))))))))))</f>
        <v>1</v>
      </c>
      <c r="L333" s="8" t="b">
        <f t="shared" si="4"/>
        <v>1</v>
      </c>
      <c r="M333" s="15" t="b">
        <v>1</v>
      </c>
      <c r="N333" s="8">
        <f t="shared" si="389"/>
        <v>39.0628804</v>
      </c>
      <c r="O333" s="8">
        <f t="shared" si="390"/>
        <v>-77.8878721</v>
      </c>
      <c r="P333" s="8" t="str">
        <f t="shared" si="391"/>
        <v>Mount Weather Emergency Operations Center</v>
      </c>
      <c r="Q333" s="8" t="str">
        <f t="shared" si="392"/>
        <v>Virginia</v>
      </c>
      <c r="R333" s="8" t="str">
        <f t="shared" si="393"/>
        <v>20135</v>
      </c>
      <c r="S333" s="8" t="str">
        <f t="shared" si="394"/>
        <v>United States</v>
      </c>
      <c r="T333" s="11">
        <f t="shared" si="395"/>
        <v>2708.525234</v>
      </c>
      <c r="U333" s="12">
        <f t="shared" si="396"/>
        <v>1.675104167</v>
      </c>
      <c r="V333" s="13">
        <f t="shared" si="397"/>
        <v>2277.055812</v>
      </c>
      <c r="X333" s="4" t="str">
        <f t="shared" si="364"/>
        <v>N/A</v>
      </c>
      <c r="Y333" s="4"/>
      <c r="Z333" s="4" t="s">
        <v>38</v>
      </c>
      <c r="AB333" s="14" t="s">
        <v>69</v>
      </c>
    </row>
    <row r="334">
      <c r="A334" s="5"/>
      <c r="B334" s="4" t="s">
        <v>1281</v>
      </c>
      <c r="C334" s="4" t="s">
        <v>1282</v>
      </c>
      <c r="D334" s="4" t="s">
        <v>1283</v>
      </c>
      <c r="E334" s="5"/>
      <c r="F334" s="4" t="s">
        <v>1281</v>
      </c>
      <c r="G334" s="6" t="str">
        <f t="shared" si="1"/>
        <v>Link</v>
      </c>
      <c r="H334" s="5"/>
      <c r="I334" s="7" t="str">
        <f t="shared" si="2"/>
        <v>{"address_components":[{"types":["establishment","natural_feature"],"short_name":"Diego Garcia","long_name":"Diego Garcia"},{"long_name":"British Indian Ocean Territory","short_name":"IO","types":["country","political"]},{"long_name":"BBND 1ZZ","short_name":"BBND 1ZZ","types":["postal_code"]},{"short_name":"MCJF+54","types":["plus_code"],"long_name":"MCJF+54"},{"short_name":"Point Marianne","types":["locality","political"],"long_name":"Point Marianne"},{"short_name":"IO","long_name":"British Indian Ocean Territory","types":["country","political"]},{"short_name":"BBND 1ZZ","types":["postal_code"],"long_name":"BBND 1ZZ"},{"types":["latitude"],"long_name":-7.319500499999999,"short_name":-7.319500499999999},{"types":["longitude"],"long_name":72.42285559999999,"short_name":72.42285559999999}],"distance_from":{"mi":{"flying":{"2116 4th Ave, Seattle, WA, 98121":9520.162302558814},"driving":{"2116 4th Ave, Seattle, WA, 98121":"GOOGLE_MAPS_ERROR_CACHED - No route found!"}}},"duration_from":{"days":{"driving":{"2116 4th Ave, Seattle, WA, 98121":"GOOGLE_MAPS_ERROR_CACHED - No route found!"}}}}</v>
      </c>
      <c r="J334" s="8" t="str">
        <f t="shared" si="3"/>
        <v>[{"types":["establishment","natural_feature"],"short_name":"Diego Garcia","long_name":"Diego Garcia"},{"long_name":"British Indian Ocean Territory","short_name":"IO","types":["country","political"]},{"long_name":"BBND 1ZZ","short_name":"BBND 1ZZ","types":["postal_code"]},{"short_name":"MCJF+54","types":["plus_code"],"long_name":"MCJF+54"},{"short_name":"Point Marianne","types":["locality","political"],"long_name":"Point Marianne"},{"short_name":"IO","long_name":"British Indian Ocean Territory","types":["country","political"]},{"short_name":"BBND 1ZZ","types":["postal_code"],"long_name":"BBND 1ZZ"},{"types":["latitude"],"long_name":-7.319500499999999,"short_name":-7.319500499999999},{"types":["longitude"],"long_name":72.42285559999999,"short_name":72.42285559999999},{"types":["debug_info","cache_load_result"],"long_name":"hit","short_name":"hit"}]</v>
      </c>
      <c r="K334" s="9" t="b">
        <f>NOT(AND(NOT(_xlfn.ISFORMULA(P334)),AND(NOT(_xlfn.ISFORMULA(Q334)),AND(NOT(_xlfn.ISFORMULA(R334)),AND(NOT(_xlfn.ISFORMULA(S334)),AND(NOT(_xlfn.ISFORMULA(T334)),AND(NOT(_xlfn.ISFORMULA(U334)),AND(NOT(_xlfn.ISFORMULA(V334))))))))))</f>
        <v>1</v>
      </c>
      <c r="L334" s="8" t="b">
        <f t="shared" si="4"/>
        <v>0</v>
      </c>
      <c r="M334" s="10" t="b">
        <v>1</v>
      </c>
      <c r="N334" s="8">
        <f t="shared" si="389"/>
        <v>-7.3195005</v>
      </c>
      <c r="O334" s="8">
        <f t="shared" si="390"/>
        <v>72.4228556</v>
      </c>
      <c r="P334" s="8" t="str">
        <f t="shared" si="391"/>
        <v>Point Marianne</v>
      </c>
      <c r="Q334" s="8" t="str">
        <f t="shared" si="392"/>
        <v>UNDEFINED</v>
      </c>
      <c r="R334" s="8" t="str">
        <f t="shared" si="393"/>
        <v>BBND 1ZZ</v>
      </c>
      <c r="S334" s="8" t="str">
        <f t="shared" si="394"/>
        <v>British Indian Ocean Territory</v>
      </c>
      <c r="T334" s="11" t="str">
        <f t="shared" si="395"/>
        <v>Not Driveable</v>
      </c>
      <c r="U334" s="12" t="str">
        <f t="shared" si="396"/>
        <v>Not Driveable</v>
      </c>
      <c r="V334" s="13">
        <f t="shared" si="397"/>
        <v>9520.162303</v>
      </c>
      <c r="X334" s="4" t="str">
        <f t="shared" si="364"/>
        <v>N/A</v>
      </c>
      <c r="Y334" s="4"/>
      <c r="Z334" s="4" t="s">
        <v>38</v>
      </c>
      <c r="AB334" s="14" t="s">
        <v>69</v>
      </c>
    </row>
    <row r="335">
      <c r="A335" s="5"/>
      <c r="B335" s="4" t="s">
        <v>1284</v>
      </c>
      <c r="C335" s="4" t="s">
        <v>1285</v>
      </c>
      <c r="D335" s="4" t="s">
        <v>1286</v>
      </c>
      <c r="E335" s="5"/>
      <c r="F335" s="4" t="s">
        <v>1284</v>
      </c>
      <c r="G335" s="6" t="str">
        <f t="shared" si="1"/>
        <v>Link</v>
      </c>
      <c r="H335" s="5"/>
      <c r="I335" s="7" t="str">
        <f t="shared" si="2"/>
        <v>{"distance_from":{"mi":{"driving":{"2116 4th Ave, Seattle, WA, 98121":"GOOGLE_MAPS_ERROR_CACHED - No route found!"},"flying":{"2116 4th Ave, Seattle, WA, 98121":"GOOGLE_MAPS_ERROR_CACHED - No route found!"}}},"duration_from":{"days":{"driving":{"2116 4th Ave, Seattle, WA, 98121":"GOOGLE_MAPS_ERROR_CACHED - No route found!"}}}}</v>
      </c>
      <c r="J335" s="8" t="str">
        <f t="shared" si="3"/>
        <v>#ERROR!</v>
      </c>
      <c r="K335" s="9" t="b">
        <f>NOT(AND(NOT(_xlfn.ISFORMULA(P335)),AND(NOT(_xlfn.ISFORMULA(Q335)),AND(NOT(_xlfn.ISFORMULA(R335)),AND(NOT(_xlfn.ISFORMULA(S335)),AND(NOT(_xlfn.ISFORMULA(T335)),AND(NOT(_xlfn.ISFORMULA(U335)),AND(NOT(_xlfn.ISFORMULA(V335)),AND(NOT(_xlfn.ISFORMULA(N335)),NOT(_xlfn.ISFORMULA(O335)))))))))))</f>
        <v>1</v>
      </c>
      <c r="L335" s="8" t="b">
        <f t="shared" si="4"/>
        <v>0</v>
      </c>
      <c r="M335" s="15" t="b">
        <v>1</v>
      </c>
      <c r="N335" s="8" t="str">
        <f t="shared" si="389"/>
        <v>#ERROR!</v>
      </c>
      <c r="O335" s="8" t="str">
        <f t="shared" si="390"/>
        <v>#ERROR!</v>
      </c>
      <c r="P335" s="8" t="str">
        <f t="shared" si="391"/>
        <v>#ERROR!</v>
      </c>
      <c r="Q335" s="8" t="str">
        <f t="shared" si="392"/>
        <v>#ERROR!</v>
      </c>
      <c r="R335" s="8" t="str">
        <f t="shared" si="393"/>
        <v>#ERROR!</v>
      </c>
      <c r="S335" s="8" t="str">
        <f t="shared" si="394"/>
        <v>#ERROR!</v>
      </c>
      <c r="T335" s="11" t="str">
        <f t="shared" si="395"/>
        <v>Not Driveable</v>
      </c>
      <c r="U335" s="12" t="str">
        <f t="shared" si="396"/>
        <v>Not Driveable</v>
      </c>
      <c r="V335" s="13" t="str">
        <f t="shared" si="397"/>
        <v>#ERROR!</v>
      </c>
      <c r="X335" s="4" t="str">
        <f t="shared" si="364"/>
        <v>N/A</v>
      </c>
      <c r="Y335" s="4"/>
      <c r="Z335" s="4" t="s">
        <v>38</v>
      </c>
    </row>
    <row r="336">
      <c r="A336" s="5"/>
      <c r="E336" s="5"/>
      <c r="H336" s="5"/>
      <c r="K336" s="43"/>
      <c r="U336" s="44"/>
    </row>
    <row r="337">
      <c r="A337" s="5"/>
      <c r="E337" s="5"/>
      <c r="H337" s="5"/>
      <c r="K337" s="43"/>
      <c r="U337" s="44"/>
    </row>
    <row r="338">
      <c r="A338" s="5"/>
      <c r="E338" s="5"/>
      <c r="H338" s="5"/>
      <c r="J338" s="45"/>
      <c r="K338" s="43"/>
      <c r="U338" s="44"/>
    </row>
    <row r="339">
      <c r="A339" s="5"/>
      <c r="E339" s="5"/>
      <c r="H339" s="5"/>
      <c r="K339" s="43"/>
      <c r="U339" s="44"/>
    </row>
    <row r="340">
      <c r="A340" s="5"/>
      <c r="E340" s="5"/>
      <c r="H340" s="5"/>
      <c r="K340" s="43"/>
      <c r="U340" s="44"/>
    </row>
    <row r="341">
      <c r="A341" s="5"/>
      <c r="E341" s="5"/>
      <c r="H341" s="5"/>
      <c r="K341" s="43"/>
      <c r="U341" s="44"/>
    </row>
    <row r="342">
      <c r="A342" s="5"/>
      <c r="E342" s="5"/>
      <c r="H342" s="5"/>
      <c r="K342" s="43"/>
      <c r="U342" s="44"/>
    </row>
    <row r="343">
      <c r="A343" s="5"/>
      <c r="E343" s="5"/>
      <c r="H343" s="5"/>
      <c r="K343" s="43"/>
      <c r="U343" s="44"/>
    </row>
    <row r="344">
      <c r="A344" s="5"/>
      <c r="E344" s="5"/>
      <c r="H344" s="5"/>
      <c r="K344" s="43"/>
      <c r="U344" s="44"/>
    </row>
    <row r="345">
      <c r="A345" s="5"/>
      <c r="E345" s="5"/>
      <c r="H345" s="5"/>
      <c r="K345" s="43"/>
      <c r="U345" s="44"/>
    </row>
    <row r="346">
      <c r="A346" s="5"/>
      <c r="E346" s="5"/>
      <c r="H346" s="5"/>
      <c r="K346" s="43"/>
      <c r="U346" s="44"/>
    </row>
    <row r="347">
      <c r="A347" s="5"/>
      <c r="E347" s="5"/>
      <c r="H347" s="5"/>
      <c r="K347" s="43"/>
      <c r="U347" s="44"/>
    </row>
    <row r="348">
      <c r="A348" s="5"/>
      <c r="E348" s="5"/>
      <c r="H348" s="5"/>
      <c r="K348" s="43"/>
      <c r="U348" s="44"/>
    </row>
    <row r="349">
      <c r="A349" s="5"/>
      <c r="E349" s="5"/>
      <c r="H349" s="5"/>
      <c r="K349" s="43"/>
      <c r="U349" s="44"/>
    </row>
    <row r="350">
      <c r="A350" s="5"/>
      <c r="E350" s="5"/>
      <c r="H350" s="5"/>
      <c r="K350" s="43"/>
      <c r="U350" s="44"/>
    </row>
    <row r="351">
      <c r="A351" s="5"/>
      <c r="E351" s="5"/>
      <c r="H351" s="5"/>
      <c r="K351" s="43"/>
      <c r="U351" s="44"/>
    </row>
    <row r="352">
      <c r="A352" s="5"/>
      <c r="E352" s="5"/>
      <c r="H352" s="5"/>
      <c r="K352" s="43"/>
      <c r="U352" s="44"/>
    </row>
    <row r="353">
      <c r="A353" s="5"/>
      <c r="E353" s="5"/>
      <c r="H353" s="5"/>
      <c r="K353" s="43"/>
      <c r="U353" s="44"/>
    </row>
    <row r="354">
      <c r="A354" s="5"/>
      <c r="E354" s="5"/>
      <c r="H354" s="5"/>
      <c r="K354" s="43"/>
      <c r="U354" s="44"/>
    </row>
    <row r="355">
      <c r="A355" s="5"/>
      <c r="E355" s="5"/>
      <c r="H355" s="5"/>
      <c r="K355" s="43"/>
      <c r="U355" s="44"/>
    </row>
    <row r="356">
      <c r="A356" s="5"/>
      <c r="E356" s="5"/>
      <c r="H356" s="5"/>
      <c r="K356" s="43"/>
      <c r="U356" s="44"/>
    </row>
    <row r="357">
      <c r="A357" s="5"/>
      <c r="E357" s="5"/>
      <c r="H357" s="5"/>
      <c r="I357" s="45"/>
      <c r="K357" s="43"/>
      <c r="U357" s="44"/>
    </row>
    <row r="358">
      <c r="A358" s="5"/>
      <c r="E358" s="5"/>
      <c r="H358" s="5"/>
      <c r="K358" s="43"/>
      <c r="U358" s="44"/>
    </row>
    <row r="359">
      <c r="A359" s="5"/>
      <c r="E359" s="5"/>
      <c r="H359" s="5"/>
      <c r="K359" s="43"/>
      <c r="U359" s="44"/>
    </row>
    <row r="360">
      <c r="A360" s="5"/>
      <c r="E360" s="5"/>
      <c r="H360" s="5"/>
      <c r="K360" s="43"/>
      <c r="U360" s="44"/>
    </row>
    <row r="361">
      <c r="A361" s="5"/>
      <c r="E361" s="5"/>
      <c r="H361" s="5"/>
      <c r="K361" s="43"/>
      <c r="U361" s="44"/>
    </row>
    <row r="362">
      <c r="A362" s="5"/>
      <c r="E362" s="5"/>
      <c r="H362" s="5"/>
      <c r="K362" s="43"/>
      <c r="U362" s="44"/>
    </row>
    <row r="363">
      <c r="A363" s="5"/>
      <c r="E363" s="5"/>
      <c r="H363" s="5"/>
      <c r="K363" s="43"/>
      <c r="U363" s="44"/>
    </row>
    <row r="364">
      <c r="A364" s="5"/>
      <c r="E364" s="5"/>
      <c r="H364" s="5"/>
      <c r="K364" s="43"/>
      <c r="U364" s="44"/>
    </row>
    <row r="365">
      <c r="A365" s="5"/>
      <c r="E365" s="5"/>
      <c r="H365" s="5"/>
      <c r="K365" s="43"/>
      <c r="U365" s="44"/>
    </row>
    <row r="366">
      <c r="A366" s="5"/>
      <c r="E366" s="5"/>
      <c r="H366" s="5"/>
      <c r="K366" s="43"/>
      <c r="U366" s="44"/>
    </row>
    <row r="367">
      <c r="A367" s="5"/>
      <c r="E367" s="5"/>
      <c r="H367" s="5"/>
      <c r="K367" s="43"/>
      <c r="U367" s="44"/>
    </row>
    <row r="368">
      <c r="A368" s="5"/>
      <c r="E368" s="5"/>
      <c r="H368" s="5"/>
      <c r="K368" s="43"/>
      <c r="U368" s="44"/>
    </row>
    <row r="369">
      <c r="A369" s="5"/>
      <c r="E369" s="5"/>
      <c r="H369" s="5"/>
      <c r="K369" s="43"/>
      <c r="U369" s="44"/>
    </row>
    <row r="370">
      <c r="A370" s="5"/>
      <c r="E370" s="5"/>
      <c r="H370" s="5"/>
      <c r="K370" s="43"/>
      <c r="U370" s="44"/>
    </row>
    <row r="371">
      <c r="A371" s="5"/>
      <c r="E371" s="5"/>
      <c r="H371" s="5"/>
      <c r="K371" s="43"/>
      <c r="U371" s="44"/>
    </row>
    <row r="372">
      <c r="A372" s="5"/>
      <c r="E372" s="5"/>
      <c r="H372" s="5"/>
      <c r="K372" s="43"/>
      <c r="U372" s="44"/>
    </row>
    <row r="373">
      <c r="A373" s="5"/>
      <c r="E373" s="5"/>
      <c r="H373" s="5"/>
      <c r="K373" s="43"/>
      <c r="U373" s="44"/>
    </row>
    <row r="374">
      <c r="A374" s="5"/>
      <c r="E374" s="5"/>
      <c r="H374" s="5"/>
      <c r="K374" s="43"/>
      <c r="U374" s="44"/>
    </row>
    <row r="375">
      <c r="A375" s="5"/>
      <c r="E375" s="5"/>
      <c r="H375" s="5"/>
      <c r="K375" s="43"/>
      <c r="U375" s="44"/>
    </row>
    <row r="376">
      <c r="A376" s="5"/>
      <c r="E376" s="5"/>
      <c r="H376" s="5"/>
      <c r="K376" s="43"/>
      <c r="U376" s="44"/>
    </row>
    <row r="377">
      <c r="A377" s="5"/>
      <c r="E377" s="5"/>
      <c r="H377" s="5"/>
      <c r="K377" s="43"/>
      <c r="U377" s="44"/>
    </row>
    <row r="378">
      <c r="A378" s="5"/>
      <c r="E378" s="5"/>
      <c r="H378" s="5"/>
      <c r="K378" s="43"/>
      <c r="U378" s="44"/>
    </row>
    <row r="379">
      <c r="A379" s="5"/>
      <c r="E379" s="5"/>
      <c r="H379" s="5"/>
      <c r="K379" s="43"/>
      <c r="U379" s="44"/>
    </row>
    <row r="380">
      <c r="A380" s="5"/>
      <c r="E380" s="5"/>
      <c r="H380" s="5"/>
      <c r="K380" s="43"/>
      <c r="U380" s="44"/>
    </row>
    <row r="381">
      <c r="A381" s="5"/>
      <c r="E381" s="5"/>
      <c r="H381" s="5"/>
      <c r="K381" s="43"/>
      <c r="U381" s="44"/>
    </row>
    <row r="382">
      <c r="A382" s="5"/>
      <c r="E382" s="5"/>
      <c r="H382" s="5"/>
      <c r="K382" s="43"/>
      <c r="U382" s="44"/>
    </row>
    <row r="383">
      <c r="A383" s="5"/>
      <c r="E383" s="5"/>
      <c r="H383" s="5"/>
      <c r="K383" s="43"/>
      <c r="U383" s="44"/>
    </row>
    <row r="384">
      <c r="A384" s="5"/>
      <c r="E384" s="5"/>
      <c r="H384" s="5"/>
      <c r="K384" s="43"/>
      <c r="U384" s="44"/>
    </row>
    <row r="385">
      <c r="A385" s="5"/>
      <c r="E385" s="5"/>
      <c r="H385" s="5"/>
      <c r="K385" s="43"/>
      <c r="U385" s="44"/>
    </row>
    <row r="386">
      <c r="A386" s="5"/>
      <c r="E386" s="5"/>
      <c r="H386" s="5"/>
      <c r="K386" s="43"/>
      <c r="U386" s="44"/>
    </row>
    <row r="387">
      <c r="A387" s="5"/>
      <c r="E387" s="5"/>
      <c r="H387" s="5"/>
      <c r="K387" s="43"/>
      <c r="U387" s="44"/>
    </row>
    <row r="388">
      <c r="A388" s="5"/>
      <c r="E388" s="5"/>
      <c r="H388" s="5"/>
      <c r="K388" s="43"/>
      <c r="U388" s="44"/>
    </row>
    <row r="389">
      <c r="A389" s="5"/>
      <c r="E389" s="5"/>
      <c r="H389" s="5"/>
      <c r="K389" s="43"/>
      <c r="U389" s="44"/>
    </row>
    <row r="390">
      <c r="A390" s="5"/>
      <c r="E390" s="5"/>
      <c r="H390" s="5"/>
      <c r="K390" s="43"/>
      <c r="U390" s="44"/>
    </row>
    <row r="391">
      <c r="A391" s="5"/>
      <c r="E391" s="5"/>
      <c r="H391" s="5"/>
      <c r="K391" s="43"/>
      <c r="U391" s="44"/>
    </row>
    <row r="392">
      <c r="A392" s="5"/>
      <c r="E392" s="5"/>
      <c r="H392" s="5"/>
      <c r="K392" s="43"/>
      <c r="U392" s="44"/>
    </row>
    <row r="393">
      <c r="A393" s="5"/>
      <c r="E393" s="5"/>
      <c r="H393" s="5"/>
      <c r="K393" s="43"/>
      <c r="U393" s="44"/>
    </row>
    <row r="394">
      <c r="A394" s="5"/>
      <c r="E394" s="5"/>
      <c r="H394" s="5"/>
      <c r="K394" s="43"/>
      <c r="U394" s="44"/>
    </row>
    <row r="395">
      <c r="A395" s="5"/>
      <c r="E395" s="5"/>
      <c r="H395" s="5"/>
      <c r="K395" s="43"/>
      <c r="U395" s="44"/>
    </row>
    <row r="396">
      <c r="A396" s="5"/>
      <c r="E396" s="5"/>
      <c r="H396" s="5"/>
      <c r="K396" s="43"/>
      <c r="U396" s="44"/>
    </row>
    <row r="397">
      <c r="A397" s="5"/>
      <c r="E397" s="5"/>
      <c r="H397" s="5"/>
      <c r="K397" s="43"/>
      <c r="U397" s="44"/>
    </row>
    <row r="398">
      <c r="A398" s="5"/>
      <c r="E398" s="5"/>
      <c r="H398" s="5"/>
      <c r="K398" s="43"/>
      <c r="U398" s="44"/>
    </row>
    <row r="399">
      <c r="A399" s="5"/>
      <c r="E399" s="5"/>
      <c r="H399" s="5"/>
      <c r="K399" s="43"/>
      <c r="U399" s="44"/>
    </row>
    <row r="400">
      <c r="A400" s="5"/>
      <c r="E400" s="5"/>
      <c r="H400" s="5"/>
      <c r="K400" s="43"/>
      <c r="U400" s="44"/>
    </row>
    <row r="401">
      <c r="A401" s="5"/>
      <c r="E401" s="5"/>
      <c r="H401" s="5"/>
      <c r="K401" s="43"/>
      <c r="U401" s="44"/>
    </row>
    <row r="402">
      <c r="A402" s="5"/>
      <c r="E402" s="5"/>
      <c r="H402" s="5"/>
      <c r="K402" s="43"/>
      <c r="U402" s="44"/>
    </row>
    <row r="403">
      <c r="A403" s="5"/>
      <c r="E403" s="5"/>
      <c r="H403" s="5"/>
      <c r="K403" s="43"/>
      <c r="U403" s="44"/>
    </row>
    <row r="404">
      <c r="A404" s="5"/>
      <c r="E404" s="5"/>
      <c r="H404" s="5"/>
      <c r="K404" s="43"/>
      <c r="U404" s="44"/>
    </row>
    <row r="405">
      <c r="A405" s="5"/>
      <c r="E405" s="5"/>
      <c r="H405" s="5"/>
      <c r="K405" s="43"/>
      <c r="U405" s="44"/>
    </row>
    <row r="406">
      <c r="A406" s="5"/>
      <c r="E406" s="5"/>
      <c r="H406" s="5"/>
      <c r="K406" s="43"/>
      <c r="U406" s="44"/>
    </row>
    <row r="407">
      <c r="A407" s="5"/>
      <c r="E407" s="5"/>
      <c r="H407" s="5"/>
      <c r="K407" s="43"/>
      <c r="U407" s="44"/>
    </row>
    <row r="408">
      <c r="A408" s="5"/>
      <c r="E408" s="5"/>
      <c r="H408" s="5"/>
      <c r="K408" s="43"/>
      <c r="U408" s="44"/>
    </row>
    <row r="409">
      <c r="A409" s="5"/>
      <c r="E409" s="5"/>
      <c r="H409" s="5"/>
      <c r="K409" s="43"/>
      <c r="U409" s="44"/>
    </row>
    <row r="410">
      <c r="A410" s="5"/>
      <c r="E410" s="5"/>
      <c r="H410" s="5"/>
      <c r="K410" s="43"/>
      <c r="U410" s="44"/>
    </row>
    <row r="411">
      <c r="A411" s="5"/>
      <c r="E411" s="5"/>
      <c r="H411" s="5"/>
      <c r="K411" s="43"/>
      <c r="U411" s="44"/>
    </row>
    <row r="412">
      <c r="A412" s="5"/>
      <c r="E412" s="5"/>
      <c r="H412" s="5"/>
      <c r="K412" s="43"/>
      <c r="U412" s="44"/>
    </row>
    <row r="413">
      <c r="A413" s="5"/>
      <c r="E413" s="5"/>
      <c r="H413" s="5"/>
      <c r="K413" s="43"/>
      <c r="U413" s="44"/>
    </row>
    <row r="414">
      <c r="A414" s="5"/>
      <c r="E414" s="5"/>
      <c r="H414" s="5"/>
      <c r="K414" s="43"/>
      <c r="U414" s="44"/>
    </row>
    <row r="415">
      <c r="A415" s="5"/>
      <c r="E415" s="5"/>
      <c r="H415" s="5"/>
      <c r="K415" s="43"/>
      <c r="U415" s="44"/>
    </row>
    <row r="416">
      <c r="A416" s="5"/>
      <c r="E416" s="5"/>
      <c r="H416" s="5"/>
      <c r="K416" s="43"/>
      <c r="U416" s="44"/>
    </row>
    <row r="417">
      <c r="A417" s="5"/>
      <c r="E417" s="5"/>
      <c r="H417" s="5"/>
      <c r="K417" s="43"/>
      <c r="U417" s="44"/>
    </row>
    <row r="418">
      <c r="A418" s="5"/>
      <c r="E418" s="5"/>
      <c r="H418" s="5"/>
      <c r="K418" s="43"/>
      <c r="U418" s="44"/>
    </row>
    <row r="419">
      <c r="A419" s="5"/>
      <c r="E419" s="5"/>
      <c r="H419" s="5"/>
      <c r="K419" s="43"/>
      <c r="U419" s="44"/>
    </row>
    <row r="420">
      <c r="A420" s="5"/>
      <c r="E420" s="5"/>
      <c r="H420" s="5"/>
      <c r="K420" s="43"/>
      <c r="U420" s="44"/>
    </row>
    <row r="421">
      <c r="A421" s="5"/>
      <c r="E421" s="5"/>
      <c r="H421" s="5"/>
      <c r="K421" s="43"/>
      <c r="U421" s="44"/>
    </row>
    <row r="422">
      <c r="A422" s="5"/>
      <c r="E422" s="5"/>
      <c r="H422" s="5"/>
      <c r="K422" s="43"/>
      <c r="U422" s="44"/>
    </row>
    <row r="423">
      <c r="A423" s="5"/>
      <c r="E423" s="5"/>
      <c r="H423" s="5"/>
      <c r="K423" s="43"/>
      <c r="U423" s="44"/>
    </row>
    <row r="424">
      <c r="A424" s="5"/>
      <c r="E424" s="5"/>
      <c r="H424" s="5"/>
      <c r="K424" s="43"/>
      <c r="U424" s="44"/>
    </row>
    <row r="425">
      <c r="A425" s="5"/>
      <c r="E425" s="5"/>
      <c r="H425" s="5"/>
      <c r="K425" s="43"/>
      <c r="U425" s="44"/>
    </row>
    <row r="426">
      <c r="A426" s="5"/>
      <c r="E426" s="5"/>
      <c r="H426" s="5"/>
      <c r="K426" s="43"/>
      <c r="U426" s="44"/>
    </row>
    <row r="427">
      <c r="A427" s="5"/>
      <c r="E427" s="5"/>
      <c r="H427" s="5"/>
      <c r="K427" s="43"/>
      <c r="U427" s="44"/>
    </row>
    <row r="428">
      <c r="A428" s="5"/>
      <c r="E428" s="5"/>
      <c r="H428" s="5"/>
      <c r="K428" s="43"/>
      <c r="U428" s="44"/>
    </row>
    <row r="429">
      <c r="A429" s="5"/>
      <c r="E429" s="5"/>
      <c r="H429" s="5"/>
      <c r="K429" s="43"/>
      <c r="U429" s="44"/>
    </row>
    <row r="430">
      <c r="A430" s="5"/>
      <c r="E430" s="5"/>
      <c r="H430" s="5"/>
      <c r="K430" s="43"/>
      <c r="U430" s="44"/>
    </row>
    <row r="431">
      <c r="A431" s="5"/>
      <c r="E431" s="5"/>
      <c r="H431" s="5"/>
      <c r="K431" s="43"/>
      <c r="U431" s="44"/>
    </row>
    <row r="432">
      <c r="A432" s="5"/>
      <c r="E432" s="5"/>
      <c r="H432" s="5"/>
      <c r="K432" s="43"/>
      <c r="U432" s="44"/>
    </row>
    <row r="433">
      <c r="A433" s="5"/>
      <c r="E433" s="5"/>
      <c r="H433" s="5"/>
      <c r="K433" s="43"/>
      <c r="U433" s="44"/>
    </row>
    <row r="434">
      <c r="A434" s="5"/>
      <c r="E434" s="5"/>
      <c r="H434" s="5"/>
      <c r="K434" s="43"/>
      <c r="U434" s="44"/>
    </row>
    <row r="435">
      <c r="A435" s="5"/>
      <c r="E435" s="5"/>
      <c r="H435" s="5"/>
      <c r="K435" s="43"/>
      <c r="U435" s="44"/>
    </row>
    <row r="436">
      <c r="A436" s="5"/>
      <c r="E436" s="5"/>
      <c r="H436" s="5"/>
      <c r="K436" s="43"/>
      <c r="U436" s="44"/>
    </row>
    <row r="437">
      <c r="A437" s="5"/>
      <c r="E437" s="5"/>
      <c r="H437" s="5"/>
      <c r="K437" s="43"/>
      <c r="U437" s="44"/>
    </row>
    <row r="438">
      <c r="A438" s="5"/>
      <c r="E438" s="5"/>
      <c r="H438" s="5"/>
      <c r="K438" s="43"/>
      <c r="U438" s="44"/>
    </row>
    <row r="439">
      <c r="A439" s="5"/>
      <c r="E439" s="5"/>
      <c r="H439" s="5"/>
      <c r="K439" s="43"/>
      <c r="U439" s="44"/>
    </row>
    <row r="440">
      <c r="A440" s="5"/>
      <c r="E440" s="5"/>
      <c r="H440" s="5"/>
      <c r="K440" s="43"/>
      <c r="U440" s="44"/>
    </row>
    <row r="441">
      <c r="A441" s="5"/>
      <c r="E441" s="5"/>
      <c r="H441" s="5"/>
      <c r="K441" s="43"/>
      <c r="U441" s="44"/>
    </row>
    <row r="442">
      <c r="A442" s="5"/>
      <c r="E442" s="5"/>
      <c r="H442" s="5"/>
      <c r="K442" s="43"/>
      <c r="U442" s="44"/>
    </row>
    <row r="443">
      <c r="A443" s="5"/>
      <c r="E443" s="5"/>
      <c r="H443" s="5"/>
      <c r="K443" s="43"/>
      <c r="U443" s="44"/>
    </row>
    <row r="444">
      <c r="A444" s="5"/>
      <c r="E444" s="5"/>
      <c r="H444" s="5"/>
      <c r="K444" s="43"/>
      <c r="U444" s="44"/>
    </row>
    <row r="445">
      <c r="A445" s="5"/>
      <c r="E445" s="5"/>
      <c r="H445" s="5"/>
      <c r="K445" s="43"/>
      <c r="U445" s="44"/>
    </row>
    <row r="446">
      <c r="A446" s="5"/>
      <c r="E446" s="5"/>
      <c r="H446" s="5"/>
      <c r="K446" s="43"/>
      <c r="U446" s="44"/>
    </row>
    <row r="447">
      <c r="A447" s="5"/>
      <c r="E447" s="5"/>
      <c r="H447" s="5"/>
      <c r="K447" s="43"/>
      <c r="U447" s="44"/>
    </row>
    <row r="448">
      <c r="A448" s="5"/>
      <c r="E448" s="5"/>
      <c r="H448" s="5"/>
      <c r="K448" s="43"/>
      <c r="U448" s="44"/>
    </row>
    <row r="449">
      <c r="A449" s="5"/>
      <c r="E449" s="5"/>
      <c r="H449" s="5"/>
      <c r="K449" s="43"/>
      <c r="U449" s="44"/>
    </row>
    <row r="450">
      <c r="A450" s="5"/>
      <c r="E450" s="5"/>
      <c r="H450" s="5"/>
      <c r="K450" s="43"/>
      <c r="U450" s="44"/>
    </row>
    <row r="451">
      <c r="A451" s="5"/>
      <c r="E451" s="5"/>
      <c r="H451" s="5"/>
      <c r="K451" s="43"/>
      <c r="U451" s="44"/>
    </row>
    <row r="452">
      <c r="A452" s="5"/>
      <c r="E452" s="5"/>
      <c r="H452" s="5"/>
      <c r="K452" s="43"/>
      <c r="U452" s="44"/>
    </row>
    <row r="453">
      <c r="A453" s="5"/>
      <c r="E453" s="5"/>
      <c r="H453" s="5"/>
      <c r="K453" s="43"/>
      <c r="U453" s="44"/>
    </row>
    <row r="454">
      <c r="A454" s="5"/>
      <c r="E454" s="5"/>
      <c r="H454" s="5"/>
      <c r="K454" s="43"/>
      <c r="U454" s="44"/>
    </row>
    <row r="455">
      <c r="A455" s="5"/>
      <c r="E455" s="5"/>
      <c r="H455" s="5"/>
      <c r="K455" s="43"/>
      <c r="U455" s="44"/>
    </row>
    <row r="456">
      <c r="A456" s="5"/>
      <c r="E456" s="5"/>
      <c r="H456" s="5"/>
      <c r="K456" s="43"/>
      <c r="U456" s="44"/>
    </row>
    <row r="457">
      <c r="A457" s="5"/>
      <c r="E457" s="5"/>
      <c r="H457" s="5"/>
      <c r="K457" s="43"/>
      <c r="U457" s="44"/>
    </row>
    <row r="458">
      <c r="A458" s="5"/>
      <c r="E458" s="5"/>
      <c r="H458" s="5"/>
      <c r="K458" s="43"/>
      <c r="U458" s="44"/>
    </row>
    <row r="459">
      <c r="A459" s="5"/>
      <c r="E459" s="5"/>
      <c r="H459" s="5"/>
      <c r="K459" s="43"/>
      <c r="U459" s="44"/>
    </row>
    <row r="460">
      <c r="A460" s="5"/>
      <c r="E460" s="5"/>
      <c r="H460" s="5"/>
      <c r="K460" s="43"/>
      <c r="U460" s="44"/>
    </row>
    <row r="461">
      <c r="A461" s="5"/>
      <c r="E461" s="5"/>
      <c r="H461" s="5"/>
      <c r="K461" s="43"/>
      <c r="U461" s="44"/>
    </row>
    <row r="462">
      <c r="A462" s="5"/>
      <c r="E462" s="5"/>
      <c r="H462" s="5"/>
      <c r="K462" s="43"/>
      <c r="U462" s="44"/>
    </row>
    <row r="463">
      <c r="A463" s="5"/>
      <c r="E463" s="5"/>
      <c r="H463" s="5"/>
      <c r="K463" s="43"/>
      <c r="U463" s="44"/>
    </row>
    <row r="464">
      <c r="A464" s="5"/>
      <c r="E464" s="5"/>
      <c r="H464" s="5"/>
      <c r="K464" s="43"/>
      <c r="U464" s="44"/>
    </row>
    <row r="465">
      <c r="A465" s="5"/>
      <c r="E465" s="5"/>
      <c r="H465" s="5"/>
      <c r="K465" s="43"/>
      <c r="U465" s="44"/>
    </row>
    <row r="466">
      <c r="A466" s="5"/>
      <c r="E466" s="5"/>
      <c r="H466" s="5"/>
      <c r="K466" s="43"/>
      <c r="U466" s="44"/>
    </row>
    <row r="467">
      <c r="A467" s="5"/>
      <c r="E467" s="5"/>
      <c r="H467" s="5"/>
      <c r="K467" s="43"/>
      <c r="U467" s="44"/>
    </row>
    <row r="468">
      <c r="A468" s="5"/>
      <c r="E468" s="5"/>
      <c r="H468" s="5"/>
      <c r="K468" s="43"/>
      <c r="U468" s="44"/>
    </row>
    <row r="469">
      <c r="A469" s="5"/>
      <c r="E469" s="5"/>
      <c r="H469" s="5"/>
      <c r="K469" s="43"/>
      <c r="U469" s="44"/>
    </row>
    <row r="470">
      <c r="A470" s="5"/>
      <c r="E470" s="5"/>
      <c r="H470" s="5"/>
      <c r="K470" s="43"/>
      <c r="U470" s="44"/>
    </row>
    <row r="471">
      <c r="A471" s="5"/>
      <c r="E471" s="5"/>
      <c r="H471" s="5"/>
      <c r="K471" s="43"/>
      <c r="U471" s="44"/>
    </row>
    <row r="472">
      <c r="A472" s="5"/>
      <c r="E472" s="5"/>
      <c r="H472" s="5"/>
      <c r="K472" s="43"/>
      <c r="U472" s="44"/>
    </row>
    <row r="473">
      <c r="A473" s="5"/>
      <c r="E473" s="5"/>
      <c r="H473" s="5"/>
      <c r="K473" s="43"/>
      <c r="U473" s="44"/>
    </row>
    <row r="474">
      <c r="A474" s="5"/>
      <c r="E474" s="5"/>
      <c r="H474" s="5"/>
      <c r="K474" s="43"/>
      <c r="U474" s="44"/>
    </row>
    <row r="475">
      <c r="A475" s="5"/>
      <c r="E475" s="5"/>
      <c r="H475" s="5"/>
      <c r="K475" s="43"/>
      <c r="U475" s="44"/>
    </row>
    <row r="476">
      <c r="A476" s="5"/>
      <c r="E476" s="5"/>
      <c r="H476" s="5"/>
      <c r="K476" s="43"/>
      <c r="U476" s="44"/>
    </row>
    <row r="477">
      <c r="A477" s="5"/>
      <c r="E477" s="5"/>
      <c r="H477" s="5"/>
      <c r="K477" s="43"/>
      <c r="U477" s="44"/>
    </row>
    <row r="478">
      <c r="A478" s="5"/>
      <c r="E478" s="5"/>
      <c r="H478" s="5"/>
      <c r="K478" s="43"/>
      <c r="U478" s="44"/>
    </row>
    <row r="479">
      <c r="A479" s="5"/>
      <c r="E479" s="5"/>
      <c r="H479" s="5"/>
      <c r="K479" s="43"/>
      <c r="U479" s="44"/>
    </row>
    <row r="480">
      <c r="A480" s="5"/>
      <c r="E480" s="5"/>
      <c r="H480" s="5"/>
      <c r="K480" s="43"/>
      <c r="U480" s="44"/>
    </row>
    <row r="481">
      <c r="A481" s="5"/>
      <c r="E481" s="5"/>
      <c r="H481" s="5"/>
      <c r="K481" s="43"/>
      <c r="U481" s="44"/>
    </row>
    <row r="482">
      <c r="A482" s="5"/>
      <c r="E482" s="5"/>
      <c r="H482" s="5"/>
      <c r="K482" s="43"/>
      <c r="U482" s="44"/>
    </row>
    <row r="483">
      <c r="A483" s="5"/>
      <c r="E483" s="5"/>
      <c r="H483" s="5"/>
      <c r="K483" s="43"/>
      <c r="U483" s="44"/>
    </row>
    <row r="484">
      <c r="A484" s="5"/>
      <c r="E484" s="5"/>
      <c r="H484" s="5"/>
      <c r="K484" s="43"/>
      <c r="U484" s="44"/>
    </row>
    <row r="485">
      <c r="A485" s="5"/>
      <c r="E485" s="5"/>
      <c r="H485" s="5"/>
      <c r="K485" s="43"/>
      <c r="U485" s="44"/>
    </row>
    <row r="486">
      <c r="A486" s="5"/>
      <c r="E486" s="5"/>
      <c r="H486" s="5"/>
      <c r="K486" s="43"/>
      <c r="U486" s="44"/>
    </row>
    <row r="487">
      <c r="A487" s="5"/>
      <c r="E487" s="5"/>
      <c r="H487" s="5"/>
      <c r="K487" s="43"/>
      <c r="U487" s="44"/>
    </row>
    <row r="488">
      <c r="A488" s="5"/>
      <c r="E488" s="5"/>
      <c r="H488" s="5"/>
      <c r="K488" s="43"/>
      <c r="U488" s="44"/>
    </row>
    <row r="489">
      <c r="A489" s="5"/>
      <c r="E489" s="5"/>
      <c r="H489" s="5"/>
      <c r="K489" s="43"/>
      <c r="U489" s="44"/>
    </row>
    <row r="490">
      <c r="A490" s="5"/>
      <c r="E490" s="5"/>
      <c r="H490" s="5"/>
      <c r="K490" s="43"/>
      <c r="U490" s="44"/>
    </row>
    <row r="491">
      <c r="A491" s="5"/>
      <c r="E491" s="5"/>
      <c r="H491" s="5"/>
      <c r="K491" s="43"/>
      <c r="U491" s="44"/>
    </row>
    <row r="492">
      <c r="A492" s="5"/>
      <c r="E492" s="5"/>
      <c r="H492" s="5"/>
      <c r="K492" s="43"/>
      <c r="U492" s="44"/>
    </row>
    <row r="493">
      <c r="A493" s="5"/>
      <c r="E493" s="5"/>
      <c r="H493" s="5"/>
      <c r="K493" s="43"/>
      <c r="U493" s="44"/>
    </row>
    <row r="494">
      <c r="A494" s="5"/>
      <c r="E494" s="5"/>
      <c r="H494" s="5"/>
      <c r="K494" s="43"/>
      <c r="U494" s="44"/>
    </row>
    <row r="495">
      <c r="A495" s="5"/>
      <c r="E495" s="5"/>
      <c r="H495" s="5"/>
      <c r="K495" s="43"/>
      <c r="U495" s="44"/>
    </row>
    <row r="496">
      <c r="A496" s="5"/>
      <c r="E496" s="5"/>
      <c r="H496" s="5"/>
      <c r="K496" s="43"/>
      <c r="U496" s="44"/>
    </row>
    <row r="497">
      <c r="A497" s="5"/>
      <c r="E497" s="5"/>
      <c r="H497" s="5"/>
      <c r="K497" s="43"/>
      <c r="U497" s="44"/>
    </row>
    <row r="498">
      <c r="A498" s="5"/>
      <c r="E498" s="5"/>
      <c r="H498" s="5"/>
      <c r="K498" s="43"/>
      <c r="U498" s="44"/>
    </row>
    <row r="499">
      <c r="A499" s="5"/>
      <c r="E499" s="5"/>
      <c r="H499" s="5"/>
      <c r="K499" s="43"/>
      <c r="U499" s="44"/>
    </row>
    <row r="500">
      <c r="A500" s="5"/>
      <c r="E500" s="5"/>
      <c r="H500" s="5"/>
      <c r="K500" s="43"/>
      <c r="U500" s="44"/>
    </row>
    <row r="501">
      <c r="A501" s="5"/>
      <c r="E501" s="5"/>
      <c r="H501" s="5"/>
      <c r="K501" s="43"/>
      <c r="U501" s="44"/>
    </row>
    <row r="502">
      <c r="A502" s="5"/>
      <c r="E502" s="5"/>
      <c r="H502" s="5"/>
      <c r="K502" s="43"/>
      <c r="U502" s="44"/>
    </row>
    <row r="503">
      <c r="A503" s="5"/>
      <c r="E503" s="5"/>
      <c r="H503" s="5"/>
      <c r="K503" s="43"/>
      <c r="U503" s="44"/>
    </row>
    <row r="504">
      <c r="A504" s="5"/>
      <c r="E504" s="5"/>
      <c r="H504" s="5"/>
      <c r="K504" s="43"/>
      <c r="U504" s="44"/>
    </row>
    <row r="505">
      <c r="A505" s="5"/>
      <c r="E505" s="5"/>
      <c r="H505" s="5"/>
      <c r="K505" s="43"/>
      <c r="U505" s="44"/>
    </row>
    <row r="506">
      <c r="A506" s="5"/>
      <c r="E506" s="5"/>
      <c r="H506" s="5"/>
      <c r="K506" s="43"/>
      <c r="U506" s="44"/>
    </row>
    <row r="507">
      <c r="A507" s="5"/>
      <c r="E507" s="5"/>
      <c r="H507" s="5"/>
      <c r="K507" s="43"/>
      <c r="U507" s="44"/>
    </row>
    <row r="508">
      <c r="A508" s="5"/>
      <c r="E508" s="5"/>
      <c r="H508" s="5"/>
      <c r="K508" s="43"/>
      <c r="U508" s="44"/>
    </row>
    <row r="509">
      <c r="A509" s="5"/>
      <c r="E509" s="5"/>
      <c r="H509" s="5"/>
      <c r="K509" s="43"/>
      <c r="U509" s="44"/>
    </row>
    <row r="510">
      <c r="A510" s="5"/>
      <c r="E510" s="5"/>
      <c r="H510" s="5"/>
      <c r="K510" s="43"/>
      <c r="U510" s="44"/>
    </row>
    <row r="511">
      <c r="A511" s="5"/>
      <c r="E511" s="5"/>
      <c r="H511" s="5"/>
      <c r="K511" s="43"/>
      <c r="U511" s="44"/>
    </row>
    <row r="512">
      <c r="A512" s="5"/>
      <c r="E512" s="5"/>
      <c r="H512" s="5"/>
      <c r="K512" s="43"/>
      <c r="U512" s="44"/>
    </row>
    <row r="513">
      <c r="A513" s="5"/>
      <c r="E513" s="5"/>
      <c r="H513" s="5"/>
      <c r="K513" s="43"/>
      <c r="U513" s="44"/>
    </row>
    <row r="514">
      <c r="A514" s="5"/>
      <c r="E514" s="5"/>
      <c r="H514" s="5"/>
      <c r="K514" s="43"/>
      <c r="U514" s="44"/>
    </row>
    <row r="515">
      <c r="A515" s="5"/>
      <c r="E515" s="5"/>
      <c r="H515" s="5"/>
      <c r="K515" s="43"/>
      <c r="U515" s="44"/>
    </row>
    <row r="516">
      <c r="A516" s="5"/>
      <c r="E516" s="5"/>
      <c r="H516" s="5"/>
      <c r="K516" s="43"/>
      <c r="U516" s="44"/>
    </row>
    <row r="517">
      <c r="A517" s="5"/>
      <c r="E517" s="5"/>
      <c r="H517" s="5"/>
      <c r="K517" s="43"/>
      <c r="U517" s="44"/>
    </row>
    <row r="518">
      <c r="A518" s="5"/>
      <c r="E518" s="5"/>
      <c r="H518" s="5"/>
      <c r="K518" s="43"/>
      <c r="U518" s="44"/>
    </row>
    <row r="519">
      <c r="A519" s="5"/>
      <c r="E519" s="5"/>
      <c r="H519" s="5"/>
      <c r="K519" s="43"/>
      <c r="U519" s="44"/>
    </row>
    <row r="520">
      <c r="A520" s="5"/>
      <c r="E520" s="5"/>
      <c r="H520" s="5"/>
      <c r="K520" s="43"/>
      <c r="U520" s="44"/>
    </row>
    <row r="521">
      <c r="A521" s="5"/>
      <c r="E521" s="5"/>
      <c r="H521" s="5"/>
      <c r="K521" s="43"/>
      <c r="U521" s="44"/>
    </row>
    <row r="522">
      <c r="A522" s="5"/>
      <c r="E522" s="5"/>
      <c r="H522" s="5"/>
      <c r="K522" s="43"/>
      <c r="U522" s="44"/>
    </row>
    <row r="523">
      <c r="A523" s="5"/>
      <c r="E523" s="5"/>
      <c r="H523" s="5"/>
      <c r="K523" s="43"/>
      <c r="U523" s="44"/>
    </row>
    <row r="524">
      <c r="A524" s="5"/>
      <c r="E524" s="5"/>
      <c r="H524" s="5"/>
      <c r="K524" s="43"/>
      <c r="U524" s="44"/>
    </row>
    <row r="525">
      <c r="A525" s="5"/>
      <c r="E525" s="5"/>
      <c r="H525" s="5"/>
      <c r="K525" s="43"/>
      <c r="U525" s="44"/>
    </row>
    <row r="526">
      <c r="A526" s="5"/>
      <c r="E526" s="5"/>
      <c r="H526" s="5"/>
      <c r="K526" s="43"/>
      <c r="U526" s="44"/>
    </row>
    <row r="527">
      <c r="A527" s="5"/>
      <c r="E527" s="5"/>
      <c r="H527" s="5"/>
      <c r="K527" s="43"/>
      <c r="U527" s="44"/>
    </row>
    <row r="528">
      <c r="A528" s="5"/>
      <c r="E528" s="5"/>
      <c r="H528" s="5"/>
      <c r="K528" s="43"/>
      <c r="U528" s="44"/>
    </row>
    <row r="529">
      <c r="A529" s="5"/>
      <c r="E529" s="5"/>
      <c r="H529" s="5"/>
      <c r="K529" s="43"/>
      <c r="U529" s="44"/>
    </row>
    <row r="530">
      <c r="A530" s="5"/>
      <c r="E530" s="5"/>
      <c r="H530" s="5"/>
      <c r="K530" s="43"/>
      <c r="U530" s="44"/>
    </row>
    <row r="531">
      <c r="A531" s="5"/>
      <c r="E531" s="5"/>
      <c r="H531" s="5"/>
      <c r="K531" s="43"/>
      <c r="U531" s="44"/>
    </row>
    <row r="532">
      <c r="A532" s="5"/>
      <c r="E532" s="5"/>
      <c r="H532" s="5"/>
      <c r="K532" s="43"/>
      <c r="U532" s="44"/>
    </row>
    <row r="533">
      <c r="A533" s="5"/>
      <c r="E533" s="5"/>
      <c r="H533" s="5"/>
      <c r="K533" s="43"/>
      <c r="U533" s="44"/>
    </row>
    <row r="534">
      <c r="A534" s="5"/>
      <c r="E534" s="5"/>
      <c r="H534" s="5"/>
      <c r="K534" s="43"/>
      <c r="U534" s="44"/>
    </row>
    <row r="535">
      <c r="A535" s="5"/>
      <c r="E535" s="5"/>
      <c r="H535" s="5"/>
      <c r="K535" s="43"/>
      <c r="U535" s="44"/>
    </row>
    <row r="536">
      <c r="A536" s="5"/>
      <c r="E536" s="5"/>
      <c r="H536" s="5"/>
      <c r="K536" s="43"/>
      <c r="U536" s="44"/>
    </row>
    <row r="537">
      <c r="A537" s="5"/>
      <c r="E537" s="5"/>
      <c r="H537" s="5"/>
      <c r="K537" s="43"/>
      <c r="U537" s="44"/>
    </row>
    <row r="538">
      <c r="A538" s="5"/>
      <c r="E538" s="5"/>
      <c r="H538" s="5"/>
      <c r="K538" s="43"/>
      <c r="U538" s="44"/>
    </row>
    <row r="539">
      <c r="A539" s="5"/>
      <c r="E539" s="5"/>
      <c r="H539" s="5"/>
      <c r="K539" s="43"/>
      <c r="U539" s="44"/>
    </row>
    <row r="540">
      <c r="A540" s="5"/>
      <c r="E540" s="5"/>
      <c r="H540" s="5"/>
      <c r="K540" s="43"/>
      <c r="U540" s="44"/>
    </row>
    <row r="541">
      <c r="A541" s="5"/>
      <c r="E541" s="5"/>
      <c r="H541" s="5"/>
      <c r="K541" s="43"/>
      <c r="U541" s="44"/>
    </row>
    <row r="542">
      <c r="A542" s="5"/>
      <c r="E542" s="5"/>
      <c r="H542" s="5"/>
      <c r="K542" s="43"/>
      <c r="U542" s="44"/>
    </row>
    <row r="543">
      <c r="A543" s="5"/>
      <c r="E543" s="5"/>
      <c r="H543" s="5"/>
      <c r="K543" s="43"/>
      <c r="U543" s="44"/>
    </row>
    <row r="544">
      <c r="A544" s="5"/>
      <c r="E544" s="5"/>
      <c r="H544" s="5"/>
      <c r="K544" s="43"/>
      <c r="U544" s="44"/>
    </row>
    <row r="545">
      <c r="A545" s="5"/>
      <c r="E545" s="5"/>
      <c r="H545" s="5"/>
      <c r="K545" s="43"/>
      <c r="U545" s="44"/>
    </row>
    <row r="546">
      <c r="A546" s="5"/>
      <c r="E546" s="5"/>
      <c r="H546" s="5"/>
      <c r="K546" s="43"/>
      <c r="U546" s="44"/>
    </row>
    <row r="547">
      <c r="A547" s="5"/>
      <c r="E547" s="5"/>
      <c r="H547" s="5"/>
      <c r="K547" s="43"/>
      <c r="U547" s="44"/>
    </row>
    <row r="548">
      <c r="A548" s="5"/>
      <c r="E548" s="5"/>
      <c r="H548" s="5"/>
      <c r="K548" s="43"/>
      <c r="U548" s="44"/>
    </row>
    <row r="549">
      <c r="A549" s="5"/>
      <c r="E549" s="5"/>
      <c r="H549" s="5"/>
      <c r="K549" s="43"/>
      <c r="U549" s="44"/>
    </row>
    <row r="550">
      <c r="A550" s="5"/>
      <c r="E550" s="5"/>
      <c r="H550" s="5"/>
      <c r="K550" s="43"/>
      <c r="U550" s="44"/>
    </row>
    <row r="551">
      <c r="A551" s="5"/>
      <c r="E551" s="5"/>
      <c r="H551" s="5"/>
      <c r="K551" s="43"/>
      <c r="U551" s="44"/>
    </row>
    <row r="552">
      <c r="A552" s="5"/>
      <c r="E552" s="5"/>
      <c r="H552" s="5"/>
      <c r="K552" s="43"/>
      <c r="U552" s="44"/>
    </row>
    <row r="553">
      <c r="A553" s="5"/>
      <c r="E553" s="5"/>
      <c r="H553" s="5"/>
      <c r="K553" s="43"/>
      <c r="U553" s="44"/>
    </row>
    <row r="554">
      <c r="A554" s="5"/>
      <c r="E554" s="5"/>
      <c r="H554" s="5"/>
      <c r="K554" s="43"/>
      <c r="U554" s="44"/>
    </row>
    <row r="555">
      <c r="A555" s="5"/>
      <c r="E555" s="5"/>
      <c r="H555" s="5"/>
      <c r="K555" s="43"/>
      <c r="U555" s="44"/>
    </row>
    <row r="556">
      <c r="A556" s="5"/>
      <c r="E556" s="5"/>
      <c r="H556" s="5"/>
      <c r="K556" s="43"/>
      <c r="U556" s="44"/>
    </row>
    <row r="557">
      <c r="A557" s="5"/>
      <c r="E557" s="5"/>
      <c r="H557" s="5"/>
      <c r="K557" s="43"/>
      <c r="U557" s="44"/>
    </row>
    <row r="558">
      <c r="A558" s="5"/>
      <c r="E558" s="5"/>
      <c r="H558" s="5"/>
      <c r="K558" s="43"/>
      <c r="U558" s="44"/>
    </row>
    <row r="559">
      <c r="A559" s="5"/>
      <c r="E559" s="5"/>
      <c r="H559" s="5"/>
      <c r="K559" s="43"/>
      <c r="U559" s="44"/>
    </row>
    <row r="560">
      <c r="A560" s="5"/>
      <c r="E560" s="5"/>
      <c r="H560" s="5"/>
      <c r="K560" s="43"/>
      <c r="U560" s="44"/>
    </row>
    <row r="561">
      <c r="A561" s="5"/>
      <c r="E561" s="5"/>
      <c r="H561" s="5"/>
      <c r="K561" s="43"/>
      <c r="U561" s="44"/>
    </row>
    <row r="562">
      <c r="A562" s="5"/>
      <c r="E562" s="5"/>
      <c r="H562" s="5"/>
      <c r="K562" s="43"/>
      <c r="U562" s="44"/>
    </row>
    <row r="563">
      <c r="A563" s="5"/>
      <c r="E563" s="5"/>
      <c r="H563" s="5"/>
      <c r="K563" s="43"/>
      <c r="U563" s="44"/>
    </row>
    <row r="564">
      <c r="A564" s="5"/>
      <c r="E564" s="5"/>
      <c r="H564" s="5"/>
      <c r="K564" s="43"/>
      <c r="U564" s="44"/>
    </row>
    <row r="565">
      <c r="A565" s="5"/>
      <c r="E565" s="5"/>
      <c r="H565" s="5"/>
      <c r="K565" s="43"/>
      <c r="U565" s="44"/>
    </row>
    <row r="566">
      <c r="A566" s="5"/>
      <c r="E566" s="5"/>
      <c r="H566" s="5"/>
      <c r="K566" s="43"/>
      <c r="U566" s="44"/>
    </row>
    <row r="567">
      <c r="A567" s="5"/>
      <c r="E567" s="5"/>
      <c r="H567" s="5"/>
      <c r="K567" s="43"/>
      <c r="U567" s="44"/>
    </row>
    <row r="568">
      <c r="A568" s="5"/>
      <c r="E568" s="5"/>
      <c r="H568" s="5"/>
      <c r="K568" s="43"/>
      <c r="U568" s="44"/>
    </row>
    <row r="569">
      <c r="A569" s="5"/>
      <c r="E569" s="5"/>
      <c r="H569" s="5"/>
      <c r="K569" s="43"/>
      <c r="U569" s="44"/>
    </row>
    <row r="570">
      <c r="A570" s="5"/>
      <c r="E570" s="5"/>
      <c r="H570" s="5"/>
      <c r="K570" s="43"/>
      <c r="U570" s="44"/>
    </row>
    <row r="571">
      <c r="A571" s="5"/>
      <c r="E571" s="5"/>
      <c r="H571" s="5"/>
      <c r="K571" s="43"/>
      <c r="U571" s="44"/>
    </row>
    <row r="572">
      <c r="A572" s="5"/>
      <c r="E572" s="5"/>
      <c r="H572" s="5"/>
      <c r="K572" s="43"/>
      <c r="U572" s="44"/>
    </row>
    <row r="573">
      <c r="A573" s="5"/>
      <c r="E573" s="5"/>
      <c r="H573" s="5"/>
      <c r="K573" s="43"/>
      <c r="U573" s="44"/>
    </row>
    <row r="574">
      <c r="A574" s="5"/>
      <c r="E574" s="5"/>
      <c r="H574" s="5"/>
      <c r="K574" s="43"/>
      <c r="U574" s="44"/>
    </row>
    <row r="575">
      <c r="A575" s="5"/>
      <c r="E575" s="5"/>
      <c r="H575" s="5"/>
      <c r="K575" s="43"/>
      <c r="U575" s="44"/>
    </row>
    <row r="576">
      <c r="A576" s="5"/>
      <c r="E576" s="5"/>
      <c r="H576" s="5"/>
      <c r="K576" s="43"/>
      <c r="U576" s="44"/>
    </row>
    <row r="577">
      <c r="A577" s="5"/>
      <c r="E577" s="5"/>
      <c r="H577" s="5"/>
      <c r="K577" s="43"/>
      <c r="U577" s="44"/>
    </row>
    <row r="578">
      <c r="A578" s="5"/>
      <c r="E578" s="5"/>
      <c r="H578" s="5"/>
      <c r="K578" s="43"/>
      <c r="U578" s="44"/>
    </row>
    <row r="579">
      <c r="A579" s="5"/>
      <c r="E579" s="5"/>
      <c r="H579" s="5"/>
      <c r="K579" s="43"/>
      <c r="U579" s="44"/>
    </row>
    <row r="580">
      <c r="A580" s="5"/>
      <c r="E580" s="5"/>
      <c r="H580" s="5"/>
      <c r="K580" s="43"/>
      <c r="U580" s="44"/>
    </row>
    <row r="581">
      <c r="A581" s="5"/>
      <c r="E581" s="5"/>
      <c r="H581" s="5"/>
      <c r="K581" s="43"/>
      <c r="U581" s="44"/>
    </row>
    <row r="582">
      <c r="A582" s="5"/>
      <c r="E582" s="5"/>
      <c r="H582" s="5"/>
      <c r="K582" s="43"/>
      <c r="U582" s="44"/>
    </row>
    <row r="583">
      <c r="A583" s="5"/>
      <c r="E583" s="5"/>
      <c r="H583" s="5"/>
      <c r="K583" s="43"/>
      <c r="U583" s="44"/>
    </row>
    <row r="584">
      <c r="A584" s="5"/>
      <c r="E584" s="5"/>
      <c r="H584" s="5"/>
      <c r="K584" s="43"/>
      <c r="U584" s="44"/>
    </row>
    <row r="585">
      <c r="A585" s="5"/>
      <c r="E585" s="5"/>
      <c r="H585" s="5"/>
      <c r="K585" s="43"/>
      <c r="U585" s="44"/>
    </row>
    <row r="586">
      <c r="A586" s="5"/>
      <c r="E586" s="5"/>
      <c r="H586" s="5"/>
      <c r="K586" s="43"/>
      <c r="U586" s="44"/>
    </row>
    <row r="587">
      <c r="A587" s="5"/>
      <c r="E587" s="5"/>
      <c r="H587" s="5"/>
      <c r="K587" s="43"/>
      <c r="U587" s="44"/>
    </row>
    <row r="588">
      <c r="A588" s="5"/>
      <c r="E588" s="5"/>
      <c r="H588" s="5"/>
      <c r="K588" s="43"/>
      <c r="U588" s="44"/>
    </row>
    <row r="589">
      <c r="A589" s="5"/>
      <c r="E589" s="5"/>
      <c r="H589" s="5"/>
      <c r="K589" s="43"/>
      <c r="U589" s="44"/>
    </row>
    <row r="590">
      <c r="A590" s="5"/>
      <c r="E590" s="5"/>
      <c r="H590" s="5"/>
      <c r="K590" s="43"/>
      <c r="U590" s="44"/>
    </row>
    <row r="591">
      <c r="A591" s="5"/>
      <c r="E591" s="5"/>
      <c r="H591" s="5"/>
      <c r="K591" s="43"/>
      <c r="U591" s="44"/>
    </row>
    <row r="592">
      <c r="A592" s="5"/>
      <c r="E592" s="5"/>
      <c r="H592" s="5"/>
      <c r="K592" s="43"/>
      <c r="U592" s="44"/>
    </row>
    <row r="593">
      <c r="A593" s="5"/>
      <c r="E593" s="5"/>
      <c r="H593" s="5"/>
      <c r="K593" s="43"/>
      <c r="U593" s="44"/>
    </row>
    <row r="594">
      <c r="A594" s="5"/>
      <c r="E594" s="5"/>
      <c r="H594" s="5"/>
      <c r="K594" s="43"/>
      <c r="U594" s="44"/>
    </row>
    <row r="595">
      <c r="A595" s="5"/>
      <c r="E595" s="5"/>
      <c r="H595" s="5"/>
      <c r="K595" s="43"/>
      <c r="U595" s="44"/>
    </row>
    <row r="596">
      <c r="A596" s="5"/>
      <c r="E596" s="5"/>
      <c r="H596" s="5"/>
      <c r="K596" s="43"/>
      <c r="U596" s="44"/>
    </row>
    <row r="597">
      <c r="A597" s="5"/>
      <c r="E597" s="5"/>
      <c r="H597" s="5"/>
      <c r="K597" s="43"/>
      <c r="U597" s="44"/>
    </row>
    <row r="598">
      <c r="A598" s="5"/>
      <c r="E598" s="5"/>
      <c r="H598" s="5"/>
      <c r="K598" s="43"/>
      <c r="U598" s="44"/>
    </row>
    <row r="599">
      <c r="A599" s="5"/>
      <c r="E599" s="5"/>
      <c r="H599" s="5"/>
      <c r="K599" s="43"/>
      <c r="U599" s="44"/>
    </row>
    <row r="600">
      <c r="A600" s="5"/>
      <c r="E600" s="5"/>
      <c r="H600" s="5"/>
      <c r="K600" s="43"/>
      <c r="U600" s="44"/>
    </row>
    <row r="601">
      <c r="A601" s="5"/>
      <c r="E601" s="5"/>
      <c r="H601" s="5"/>
      <c r="K601" s="43"/>
      <c r="U601" s="44"/>
    </row>
    <row r="602">
      <c r="A602" s="5"/>
      <c r="E602" s="5"/>
      <c r="H602" s="5"/>
      <c r="K602" s="43"/>
      <c r="U602" s="44"/>
    </row>
    <row r="603">
      <c r="A603" s="5"/>
      <c r="E603" s="5"/>
      <c r="H603" s="5"/>
      <c r="K603" s="43"/>
      <c r="U603" s="44"/>
    </row>
    <row r="604">
      <c r="A604" s="5"/>
      <c r="E604" s="5"/>
      <c r="H604" s="5"/>
      <c r="K604" s="43"/>
      <c r="U604" s="44"/>
    </row>
    <row r="605">
      <c r="A605" s="5"/>
      <c r="E605" s="5"/>
      <c r="H605" s="5"/>
      <c r="K605" s="43"/>
      <c r="U605" s="44"/>
    </row>
    <row r="606">
      <c r="A606" s="5"/>
      <c r="E606" s="5"/>
      <c r="H606" s="5"/>
      <c r="K606" s="43"/>
      <c r="U606" s="44"/>
    </row>
    <row r="607">
      <c r="A607" s="5"/>
      <c r="E607" s="5"/>
      <c r="H607" s="5"/>
      <c r="K607" s="43"/>
      <c r="U607" s="44"/>
    </row>
    <row r="608">
      <c r="A608" s="5"/>
      <c r="E608" s="5"/>
      <c r="H608" s="5"/>
      <c r="K608" s="43"/>
      <c r="U608" s="44"/>
    </row>
    <row r="609">
      <c r="A609" s="5"/>
      <c r="E609" s="5"/>
      <c r="H609" s="5"/>
      <c r="K609" s="43"/>
      <c r="U609" s="44"/>
    </row>
    <row r="610">
      <c r="A610" s="5"/>
      <c r="E610" s="5"/>
      <c r="H610" s="5"/>
      <c r="K610" s="43"/>
      <c r="U610" s="44"/>
    </row>
    <row r="611">
      <c r="A611" s="5"/>
      <c r="E611" s="5"/>
      <c r="H611" s="5"/>
      <c r="K611" s="43"/>
      <c r="U611" s="44"/>
    </row>
    <row r="612">
      <c r="A612" s="5"/>
      <c r="E612" s="5"/>
      <c r="H612" s="5"/>
      <c r="K612" s="43"/>
      <c r="U612" s="44"/>
    </row>
    <row r="613">
      <c r="A613" s="5"/>
      <c r="E613" s="5"/>
      <c r="H613" s="5"/>
      <c r="K613" s="43"/>
      <c r="U613" s="44"/>
    </row>
    <row r="614">
      <c r="A614" s="5"/>
      <c r="E614" s="5"/>
      <c r="H614" s="5"/>
      <c r="K614" s="43"/>
      <c r="U614" s="44"/>
    </row>
    <row r="615">
      <c r="A615" s="5"/>
      <c r="E615" s="5"/>
      <c r="H615" s="5"/>
      <c r="K615" s="43"/>
      <c r="U615" s="44"/>
    </row>
    <row r="616">
      <c r="A616" s="5"/>
      <c r="E616" s="5"/>
      <c r="H616" s="5"/>
      <c r="K616" s="43"/>
      <c r="U616" s="44"/>
    </row>
    <row r="617">
      <c r="A617" s="5"/>
      <c r="E617" s="5"/>
      <c r="H617" s="5"/>
      <c r="K617" s="43"/>
      <c r="U617" s="44"/>
    </row>
    <row r="618">
      <c r="A618" s="5"/>
      <c r="E618" s="5"/>
      <c r="H618" s="5"/>
      <c r="K618" s="43"/>
      <c r="U618" s="44"/>
    </row>
    <row r="619">
      <c r="A619" s="5"/>
      <c r="E619" s="5"/>
      <c r="H619" s="5"/>
      <c r="K619" s="43"/>
      <c r="U619" s="44"/>
    </row>
    <row r="620">
      <c r="A620" s="5"/>
      <c r="E620" s="5"/>
      <c r="H620" s="5"/>
      <c r="K620" s="43"/>
      <c r="U620" s="44"/>
    </row>
    <row r="621">
      <c r="A621" s="5"/>
      <c r="E621" s="5"/>
      <c r="H621" s="5"/>
      <c r="K621" s="43"/>
      <c r="U621" s="44"/>
    </row>
    <row r="622">
      <c r="A622" s="5"/>
      <c r="E622" s="5"/>
      <c r="H622" s="5"/>
      <c r="K622" s="43"/>
      <c r="U622" s="44"/>
    </row>
    <row r="623">
      <c r="A623" s="5"/>
      <c r="E623" s="5"/>
      <c r="H623" s="5"/>
      <c r="K623" s="43"/>
      <c r="U623" s="44"/>
    </row>
    <row r="624">
      <c r="A624" s="5"/>
      <c r="E624" s="5"/>
      <c r="H624" s="5"/>
      <c r="K624" s="43"/>
      <c r="U624" s="44"/>
    </row>
    <row r="625">
      <c r="A625" s="5"/>
      <c r="E625" s="5"/>
      <c r="H625" s="5"/>
      <c r="K625" s="43"/>
      <c r="U625" s="44"/>
    </row>
    <row r="626">
      <c r="A626" s="5"/>
      <c r="E626" s="5"/>
      <c r="H626" s="5"/>
      <c r="K626" s="43"/>
      <c r="U626" s="44"/>
    </row>
    <row r="627">
      <c r="A627" s="5"/>
      <c r="E627" s="5"/>
      <c r="H627" s="5"/>
      <c r="K627" s="43"/>
      <c r="U627" s="44"/>
    </row>
    <row r="628">
      <c r="A628" s="5"/>
      <c r="E628" s="5"/>
      <c r="H628" s="5"/>
      <c r="K628" s="43"/>
      <c r="U628" s="44"/>
    </row>
    <row r="629">
      <c r="A629" s="5"/>
      <c r="E629" s="5"/>
      <c r="H629" s="5"/>
      <c r="K629" s="43"/>
      <c r="U629" s="44"/>
    </row>
    <row r="630">
      <c r="A630" s="5"/>
      <c r="E630" s="5"/>
      <c r="H630" s="5"/>
      <c r="K630" s="43"/>
      <c r="U630" s="44"/>
    </row>
    <row r="631">
      <c r="A631" s="5"/>
      <c r="E631" s="5"/>
      <c r="H631" s="5"/>
      <c r="K631" s="43"/>
      <c r="U631" s="44"/>
    </row>
    <row r="632">
      <c r="A632" s="5"/>
      <c r="E632" s="5"/>
      <c r="H632" s="5"/>
      <c r="K632" s="43"/>
      <c r="U632" s="44"/>
    </row>
    <row r="633">
      <c r="A633" s="5"/>
      <c r="E633" s="5"/>
      <c r="H633" s="5"/>
      <c r="K633" s="43"/>
      <c r="U633" s="44"/>
    </row>
    <row r="634">
      <c r="A634" s="5"/>
      <c r="E634" s="5"/>
      <c r="H634" s="5"/>
      <c r="K634" s="43"/>
      <c r="U634" s="44"/>
    </row>
    <row r="635">
      <c r="A635" s="5"/>
      <c r="E635" s="5"/>
      <c r="H635" s="5"/>
      <c r="K635" s="43"/>
      <c r="U635" s="44"/>
    </row>
    <row r="636">
      <c r="A636" s="5"/>
      <c r="E636" s="5"/>
      <c r="H636" s="5"/>
      <c r="K636" s="43"/>
      <c r="U636" s="44"/>
    </row>
    <row r="637">
      <c r="A637" s="5"/>
      <c r="E637" s="5"/>
      <c r="H637" s="5"/>
      <c r="K637" s="43"/>
      <c r="U637" s="44"/>
    </row>
    <row r="638">
      <c r="A638" s="5"/>
      <c r="E638" s="5"/>
      <c r="H638" s="5"/>
      <c r="K638" s="43"/>
      <c r="U638" s="44"/>
    </row>
    <row r="639">
      <c r="A639" s="5"/>
      <c r="E639" s="5"/>
      <c r="H639" s="5"/>
      <c r="K639" s="43"/>
      <c r="U639" s="44"/>
    </row>
    <row r="640">
      <c r="A640" s="5"/>
      <c r="E640" s="5"/>
      <c r="H640" s="5"/>
      <c r="K640" s="43"/>
      <c r="U640" s="44"/>
    </row>
    <row r="641">
      <c r="A641" s="5"/>
      <c r="E641" s="5"/>
      <c r="H641" s="5"/>
      <c r="K641" s="43"/>
      <c r="U641" s="44"/>
    </row>
    <row r="642">
      <c r="A642" s="5"/>
      <c r="E642" s="5"/>
      <c r="H642" s="5"/>
      <c r="K642" s="43"/>
      <c r="U642" s="44"/>
    </row>
    <row r="643">
      <c r="A643" s="5"/>
      <c r="E643" s="5"/>
      <c r="H643" s="5"/>
      <c r="K643" s="43"/>
      <c r="U643" s="44"/>
    </row>
    <row r="644">
      <c r="A644" s="5"/>
      <c r="E644" s="5"/>
      <c r="H644" s="5"/>
      <c r="K644" s="43"/>
      <c r="U644" s="44"/>
    </row>
    <row r="645">
      <c r="A645" s="5"/>
      <c r="E645" s="5"/>
      <c r="H645" s="5"/>
      <c r="K645" s="43"/>
      <c r="U645" s="44"/>
    </row>
    <row r="646">
      <c r="A646" s="5"/>
      <c r="E646" s="5"/>
      <c r="H646" s="5"/>
      <c r="K646" s="43"/>
      <c r="U646" s="44"/>
    </row>
    <row r="647">
      <c r="A647" s="5"/>
      <c r="E647" s="5"/>
      <c r="H647" s="5"/>
      <c r="K647" s="43"/>
      <c r="U647" s="44"/>
    </row>
    <row r="648">
      <c r="A648" s="5"/>
      <c r="E648" s="5"/>
      <c r="H648" s="5"/>
      <c r="K648" s="43"/>
      <c r="U648" s="44"/>
    </row>
    <row r="649">
      <c r="A649" s="5"/>
      <c r="E649" s="5"/>
      <c r="H649" s="5"/>
      <c r="K649" s="43"/>
      <c r="U649" s="44"/>
    </row>
    <row r="650">
      <c r="A650" s="5"/>
      <c r="E650" s="5"/>
      <c r="H650" s="5"/>
      <c r="K650" s="43"/>
      <c r="U650" s="44"/>
    </row>
    <row r="651">
      <c r="A651" s="5"/>
      <c r="E651" s="5"/>
      <c r="H651" s="5"/>
      <c r="K651" s="43"/>
      <c r="U651" s="44"/>
    </row>
    <row r="652">
      <c r="A652" s="5"/>
      <c r="E652" s="5"/>
      <c r="H652" s="5"/>
      <c r="K652" s="43"/>
      <c r="U652" s="44"/>
    </row>
    <row r="653">
      <c r="A653" s="5"/>
      <c r="E653" s="5"/>
      <c r="H653" s="5"/>
      <c r="K653" s="43"/>
      <c r="U653" s="44"/>
    </row>
    <row r="654">
      <c r="A654" s="5"/>
      <c r="E654" s="5"/>
      <c r="H654" s="5"/>
      <c r="K654" s="43"/>
      <c r="U654" s="44"/>
    </row>
    <row r="655">
      <c r="A655" s="5"/>
      <c r="E655" s="5"/>
      <c r="H655" s="5"/>
      <c r="K655" s="43"/>
      <c r="U655" s="44"/>
    </row>
    <row r="656">
      <c r="A656" s="5"/>
      <c r="E656" s="5"/>
      <c r="H656" s="5"/>
      <c r="K656" s="43"/>
      <c r="U656" s="44"/>
    </row>
    <row r="657">
      <c r="A657" s="5"/>
      <c r="E657" s="5"/>
      <c r="H657" s="5"/>
      <c r="K657" s="43"/>
      <c r="U657" s="44"/>
    </row>
    <row r="658">
      <c r="A658" s="5"/>
      <c r="E658" s="5"/>
      <c r="H658" s="5"/>
      <c r="K658" s="43"/>
      <c r="U658" s="44"/>
    </row>
    <row r="659">
      <c r="A659" s="5"/>
      <c r="E659" s="5"/>
      <c r="H659" s="5"/>
      <c r="K659" s="43"/>
      <c r="U659" s="44"/>
    </row>
    <row r="660">
      <c r="A660" s="5"/>
      <c r="E660" s="5"/>
      <c r="H660" s="5"/>
      <c r="K660" s="43"/>
      <c r="U660" s="44"/>
    </row>
    <row r="661">
      <c r="A661" s="5"/>
      <c r="E661" s="5"/>
      <c r="H661" s="5"/>
      <c r="K661" s="43"/>
      <c r="U661" s="44"/>
    </row>
    <row r="662">
      <c r="A662" s="5"/>
      <c r="E662" s="5"/>
      <c r="H662" s="5"/>
      <c r="K662" s="43"/>
      <c r="U662" s="44"/>
    </row>
    <row r="663">
      <c r="A663" s="5"/>
      <c r="E663" s="5"/>
      <c r="H663" s="5"/>
      <c r="K663" s="43"/>
      <c r="U663" s="44"/>
    </row>
    <row r="664">
      <c r="A664" s="5"/>
      <c r="E664" s="5"/>
      <c r="H664" s="5"/>
      <c r="K664" s="43"/>
      <c r="U664" s="44"/>
    </row>
    <row r="665">
      <c r="A665" s="5"/>
      <c r="E665" s="5"/>
      <c r="H665" s="5"/>
      <c r="K665" s="43"/>
      <c r="U665" s="44"/>
    </row>
    <row r="666">
      <c r="A666" s="5"/>
      <c r="E666" s="5"/>
      <c r="H666" s="5"/>
      <c r="K666" s="43"/>
      <c r="U666" s="44"/>
    </row>
    <row r="667">
      <c r="A667" s="5"/>
      <c r="E667" s="5"/>
      <c r="H667" s="5"/>
      <c r="K667" s="43"/>
      <c r="U667" s="44"/>
    </row>
    <row r="668">
      <c r="A668" s="5"/>
      <c r="E668" s="5"/>
      <c r="H668" s="5"/>
      <c r="K668" s="43"/>
      <c r="U668" s="44"/>
    </row>
    <row r="669">
      <c r="A669" s="5"/>
      <c r="E669" s="5"/>
      <c r="H669" s="5"/>
      <c r="K669" s="43"/>
      <c r="U669" s="44"/>
    </row>
    <row r="670">
      <c r="A670" s="5"/>
      <c r="E670" s="5"/>
      <c r="H670" s="5"/>
      <c r="K670" s="43"/>
      <c r="U670" s="44"/>
    </row>
    <row r="671">
      <c r="A671" s="5"/>
      <c r="E671" s="5"/>
      <c r="H671" s="5"/>
      <c r="K671" s="43"/>
      <c r="U671" s="44"/>
    </row>
    <row r="672">
      <c r="A672" s="5"/>
      <c r="E672" s="5"/>
      <c r="H672" s="5"/>
      <c r="K672" s="43"/>
      <c r="U672" s="44"/>
    </row>
    <row r="673">
      <c r="A673" s="5"/>
      <c r="E673" s="5"/>
      <c r="H673" s="5"/>
      <c r="K673" s="43"/>
      <c r="U673" s="44"/>
    </row>
    <row r="674">
      <c r="A674" s="5"/>
      <c r="E674" s="5"/>
      <c r="H674" s="5"/>
      <c r="K674" s="43"/>
      <c r="U674" s="44"/>
    </row>
    <row r="675">
      <c r="A675" s="5"/>
      <c r="E675" s="5"/>
      <c r="H675" s="5"/>
      <c r="K675" s="43"/>
      <c r="U675" s="44"/>
    </row>
    <row r="676">
      <c r="A676" s="5"/>
      <c r="E676" s="5"/>
      <c r="H676" s="5"/>
      <c r="K676" s="43"/>
      <c r="U676" s="44"/>
    </row>
    <row r="677">
      <c r="A677" s="5"/>
      <c r="E677" s="5"/>
      <c r="H677" s="5"/>
      <c r="K677" s="43"/>
      <c r="U677" s="44"/>
    </row>
    <row r="678">
      <c r="A678" s="5"/>
      <c r="E678" s="5"/>
      <c r="H678" s="5"/>
      <c r="K678" s="43"/>
      <c r="U678" s="44"/>
    </row>
    <row r="679">
      <c r="A679" s="5"/>
      <c r="E679" s="5"/>
      <c r="H679" s="5"/>
      <c r="K679" s="43"/>
      <c r="U679" s="44"/>
    </row>
    <row r="680">
      <c r="A680" s="5"/>
      <c r="E680" s="5"/>
      <c r="H680" s="5"/>
      <c r="K680" s="43"/>
      <c r="U680" s="44"/>
    </row>
    <row r="681">
      <c r="A681" s="5"/>
      <c r="E681" s="5"/>
      <c r="H681" s="5"/>
      <c r="K681" s="43"/>
      <c r="U681" s="44"/>
    </row>
    <row r="682">
      <c r="A682" s="5"/>
      <c r="E682" s="5"/>
      <c r="H682" s="5"/>
      <c r="K682" s="43"/>
      <c r="U682" s="44"/>
    </row>
    <row r="683">
      <c r="A683" s="5"/>
      <c r="E683" s="5"/>
      <c r="H683" s="5"/>
      <c r="K683" s="43"/>
      <c r="U683" s="44"/>
    </row>
    <row r="684">
      <c r="A684" s="5"/>
      <c r="E684" s="5"/>
      <c r="H684" s="5"/>
      <c r="K684" s="43"/>
      <c r="U684" s="44"/>
    </row>
    <row r="685">
      <c r="A685" s="5"/>
      <c r="E685" s="5"/>
      <c r="H685" s="5"/>
      <c r="K685" s="43"/>
      <c r="U685" s="44"/>
    </row>
    <row r="686">
      <c r="A686" s="5"/>
      <c r="E686" s="5"/>
      <c r="H686" s="5"/>
      <c r="K686" s="43"/>
      <c r="U686" s="44"/>
    </row>
    <row r="687">
      <c r="A687" s="5"/>
      <c r="E687" s="5"/>
      <c r="H687" s="5"/>
      <c r="K687" s="43"/>
      <c r="U687" s="44"/>
    </row>
    <row r="688">
      <c r="A688" s="5"/>
      <c r="E688" s="5"/>
      <c r="H688" s="5"/>
      <c r="K688" s="43"/>
      <c r="U688" s="44"/>
    </row>
    <row r="689">
      <c r="A689" s="5"/>
      <c r="E689" s="5"/>
      <c r="H689" s="5"/>
      <c r="K689" s="43"/>
      <c r="U689" s="44"/>
    </row>
    <row r="690">
      <c r="A690" s="5"/>
      <c r="E690" s="5"/>
      <c r="H690" s="5"/>
      <c r="K690" s="43"/>
      <c r="U690" s="44"/>
    </row>
    <row r="691">
      <c r="A691" s="5"/>
      <c r="E691" s="5"/>
      <c r="H691" s="5"/>
      <c r="K691" s="43"/>
      <c r="U691" s="44"/>
    </row>
    <row r="692">
      <c r="A692" s="5"/>
      <c r="E692" s="5"/>
      <c r="H692" s="5"/>
      <c r="K692" s="43"/>
      <c r="U692" s="44"/>
    </row>
    <row r="693">
      <c r="A693" s="5"/>
      <c r="E693" s="5"/>
      <c r="H693" s="5"/>
      <c r="K693" s="43"/>
      <c r="U693" s="44"/>
    </row>
    <row r="694">
      <c r="A694" s="5"/>
      <c r="E694" s="5"/>
      <c r="H694" s="5"/>
      <c r="K694" s="43"/>
      <c r="U694" s="44"/>
    </row>
    <row r="695">
      <c r="A695" s="5"/>
      <c r="E695" s="5"/>
      <c r="H695" s="5"/>
      <c r="K695" s="43"/>
      <c r="U695" s="44"/>
    </row>
    <row r="696">
      <c r="A696" s="5"/>
      <c r="E696" s="5"/>
      <c r="H696" s="5"/>
      <c r="K696" s="43"/>
      <c r="U696" s="44"/>
    </row>
    <row r="697">
      <c r="A697" s="5"/>
      <c r="E697" s="5"/>
      <c r="H697" s="5"/>
      <c r="K697" s="43"/>
      <c r="U697" s="44"/>
    </row>
    <row r="698">
      <c r="A698" s="5"/>
      <c r="E698" s="5"/>
      <c r="H698" s="5"/>
      <c r="K698" s="43"/>
      <c r="U698" s="44"/>
    </row>
    <row r="699">
      <c r="A699" s="5"/>
      <c r="E699" s="5"/>
      <c r="H699" s="5"/>
      <c r="K699" s="43"/>
      <c r="U699" s="44"/>
    </row>
    <row r="700">
      <c r="A700" s="5"/>
      <c r="E700" s="5"/>
      <c r="H700" s="5"/>
      <c r="K700" s="43"/>
      <c r="U700" s="44"/>
    </row>
    <row r="701">
      <c r="A701" s="5"/>
      <c r="E701" s="5"/>
      <c r="H701" s="5"/>
      <c r="K701" s="43"/>
      <c r="U701" s="44"/>
    </row>
    <row r="702">
      <c r="A702" s="5"/>
      <c r="E702" s="5"/>
      <c r="H702" s="5"/>
      <c r="K702" s="43"/>
      <c r="U702" s="44"/>
    </row>
    <row r="703">
      <c r="A703" s="5"/>
      <c r="E703" s="5"/>
      <c r="H703" s="5"/>
      <c r="K703" s="43"/>
      <c r="U703" s="44"/>
    </row>
    <row r="704">
      <c r="A704" s="5"/>
      <c r="E704" s="5"/>
      <c r="H704" s="5"/>
      <c r="K704" s="43"/>
      <c r="U704" s="44"/>
    </row>
    <row r="705">
      <c r="A705" s="5"/>
      <c r="E705" s="5"/>
      <c r="H705" s="5"/>
      <c r="K705" s="43"/>
      <c r="U705" s="44"/>
    </row>
    <row r="706">
      <c r="A706" s="5"/>
      <c r="E706" s="5"/>
      <c r="H706" s="5"/>
      <c r="K706" s="43"/>
      <c r="U706" s="44"/>
    </row>
    <row r="707">
      <c r="A707" s="5"/>
      <c r="E707" s="5"/>
      <c r="H707" s="5"/>
      <c r="K707" s="43"/>
      <c r="U707" s="44"/>
    </row>
    <row r="708">
      <c r="A708" s="5"/>
      <c r="E708" s="5"/>
      <c r="H708" s="5"/>
      <c r="K708" s="43"/>
      <c r="U708" s="44"/>
    </row>
    <row r="709">
      <c r="A709" s="5"/>
      <c r="E709" s="5"/>
      <c r="H709" s="5"/>
      <c r="K709" s="43"/>
      <c r="U709" s="44"/>
    </row>
    <row r="710">
      <c r="A710" s="5"/>
      <c r="E710" s="5"/>
      <c r="H710" s="5"/>
      <c r="K710" s="43"/>
      <c r="U710" s="44"/>
    </row>
    <row r="711">
      <c r="A711" s="5"/>
      <c r="E711" s="5"/>
      <c r="H711" s="5"/>
      <c r="K711" s="43"/>
      <c r="U711" s="44"/>
    </row>
    <row r="712">
      <c r="A712" s="5"/>
      <c r="E712" s="5"/>
      <c r="H712" s="5"/>
      <c r="K712" s="43"/>
      <c r="U712" s="44"/>
    </row>
    <row r="713">
      <c r="A713" s="5"/>
      <c r="E713" s="5"/>
      <c r="H713" s="5"/>
      <c r="K713" s="43"/>
      <c r="U713" s="44"/>
    </row>
    <row r="714">
      <c r="A714" s="5"/>
      <c r="E714" s="5"/>
      <c r="H714" s="5"/>
      <c r="K714" s="43"/>
      <c r="U714" s="44"/>
    </row>
    <row r="715">
      <c r="A715" s="5"/>
      <c r="E715" s="5"/>
      <c r="H715" s="5"/>
      <c r="K715" s="43"/>
      <c r="U715" s="44"/>
    </row>
    <row r="716">
      <c r="A716" s="5"/>
      <c r="E716" s="5"/>
      <c r="H716" s="5"/>
      <c r="K716" s="43"/>
      <c r="U716" s="44"/>
    </row>
    <row r="717">
      <c r="A717" s="5"/>
      <c r="E717" s="5"/>
      <c r="H717" s="5"/>
      <c r="K717" s="43"/>
      <c r="U717" s="44"/>
    </row>
    <row r="718">
      <c r="A718" s="5"/>
      <c r="E718" s="5"/>
      <c r="H718" s="5"/>
      <c r="K718" s="43"/>
      <c r="U718" s="44"/>
    </row>
    <row r="719">
      <c r="A719" s="5"/>
      <c r="E719" s="5"/>
      <c r="H719" s="5"/>
      <c r="K719" s="43"/>
      <c r="U719" s="44"/>
    </row>
    <row r="720">
      <c r="A720" s="5"/>
      <c r="E720" s="5"/>
      <c r="H720" s="5"/>
      <c r="K720" s="43"/>
      <c r="U720" s="44"/>
    </row>
    <row r="721">
      <c r="A721" s="5"/>
      <c r="E721" s="5"/>
      <c r="H721" s="5"/>
      <c r="K721" s="43"/>
      <c r="U721" s="44"/>
    </row>
    <row r="722">
      <c r="A722" s="5"/>
      <c r="E722" s="5"/>
      <c r="H722" s="5"/>
      <c r="K722" s="43"/>
      <c r="U722" s="44"/>
    </row>
    <row r="723">
      <c r="A723" s="5"/>
      <c r="E723" s="5"/>
      <c r="H723" s="5"/>
      <c r="K723" s="43"/>
      <c r="U723" s="44"/>
    </row>
    <row r="724">
      <c r="A724" s="5"/>
      <c r="E724" s="5"/>
      <c r="H724" s="5"/>
      <c r="K724" s="43"/>
      <c r="U724" s="44"/>
    </row>
    <row r="725">
      <c r="A725" s="5"/>
      <c r="E725" s="5"/>
      <c r="H725" s="5"/>
      <c r="K725" s="43"/>
      <c r="U725" s="44"/>
    </row>
    <row r="726">
      <c r="A726" s="5"/>
      <c r="E726" s="5"/>
      <c r="H726" s="5"/>
      <c r="K726" s="43"/>
      <c r="U726" s="44"/>
    </row>
    <row r="727">
      <c r="A727" s="5"/>
      <c r="E727" s="5"/>
      <c r="H727" s="5"/>
      <c r="K727" s="43"/>
      <c r="U727" s="44"/>
    </row>
    <row r="728">
      <c r="A728" s="5"/>
      <c r="E728" s="5"/>
      <c r="H728" s="5"/>
      <c r="K728" s="43"/>
      <c r="U728" s="44"/>
    </row>
    <row r="729">
      <c r="A729" s="5"/>
      <c r="E729" s="5"/>
      <c r="H729" s="5"/>
      <c r="K729" s="43"/>
      <c r="U729" s="44"/>
    </row>
    <row r="730">
      <c r="A730" s="5"/>
      <c r="E730" s="5"/>
      <c r="H730" s="5"/>
      <c r="K730" s="43"/>
      <c r="U730" s="44"/>
    </row>
    <row r="731">
      <c r="A731" s="5"/>
      <c r="E731" s="5"/>
      <c r="H731" s="5"/>
      <c r="K731" s="43"/>
      <c r="U731" s="44"/>
    </row>
    <row r="732">
      <c r="A732" s="5"/>
      <c r="E732" s="5"/>
      <c r="H732" s="5"/>
      <c r="K732" s="43"/>
      <c r="U732" s="44"/>
    </row>
    <row r="733">
      <c r="A733" s="5"/>
      <c r="E733" s="5"/>
      <c r="H733" s="5"/>
      <c r="K733" s="43"/>
      <c r="U733" s="44"/>
    </row>
    <row r="734">
      <c r="A734" s="5"/>
      <c r="E734" s="5"/>
      <c r="H734" s="5"/>
      <c r="K734" s="43"/>
      <c r="U734" s="44"/>
    </row>
    <row r="735">
      <c r="A735" s="5"/>
      <c r="E735" s="5"/>
      <c r="H735" s="5"/>
      <c r="K735" s="43"/>
      <c r="U735" s="44"/>
    </row>
    <row r="736">
      <c r="A736" s="5"/>
      <c r="E736" s="5"/>
      <c r="H736" s="5"/>
      <c r="K736" s="43"/>
      <c r="U736" s="44"/>
    </row>
    <row r="737">
      <c r="A737" s="5"/>
      <c r="E737" s="5"/>
      <c r="H737" s="5"/>
      <c r="K737" s="43"/>
      <c r="U737" s="44"/>
    </row>
    <row r="738">
      <c r="A738" s="5"/>
      <c r="E738" s="5"/>
      <c r="H738" s="5"/>
      <c r="K738" s="43"/>
      <c r="U738" s="44"/>
    </row>
    <row r="739">
      <c r="A739" s="5"/>
      <c r="E739" s="5"/>
      <c r="H739" s="5"/>
      <c r="K739" s="43"/>
      <c r="U739" s="44"/>
    </row>
    <row r="740">
      <c r="A740" s="5"/>
      <c r="E740" s="5"/>
      <c r="H740" s="5"/>
      <c r="K740" s="43"/>
      <c r="U740" s="44"/>
    </row>
    <row r="741">
      <c r="A741" s="5"/>
      <c r="E741" s="5"/>
      <c r="H741" s="5"/>
      <c r="K741" s="43"/>
      <c r="U741" s="44"/>
    </row>
    <row r="742">
      <c r="A742" s="5"/>
      <c r="E742" s="5"/>
      <c r="H742" s="5"/>
      <c r="K742" s="43"/>
      <c r="U742" s="44"/>
    </row>
    <row r="743">
      <c r="A743" s="5"/>
      <c r="E743" s="5"/>
      <c r="H743" s="5"/>
      <c r="K743" s="43"/>
      <c r="U743" s="44"/>
    </row>
    <row r="744">
      <c r="A744" s="5"/>
      <c r="E744" s="5"/>
      <c r="H744" s="5"/>
      <c r="K744" s="43"/>
      <c r="U744" s="44"/>
    </row>
    <row r="745">
      <c r="A745" s="5"/>
      <c r="E745" s="5"/>
      <c r="H745" s="5"/>
      <c r="K745" s="43"/>
      <c r="U745" s="44"/>
    </row>
    <row r="746">
      <c r="A746" s="5"/>
      <c r="E746" s="5"/>
      <c r="H746" s="5"/>
      <c r="K746" s="43"/>
      <c r="U746" s="44"/>
    </row>
    <row r="747">
      <c r="A747" s="5"/>
      <c r="E747" s="5"/>
      <c r="H747" s="5"/>
      <c r="K747" s="43"/>
      <c r="U747" s="44"/>
    </row>
    <row r="748">
      <c r="A748" s="5"/>
      <c r="E748" s="5"/>
      <c r="H748" s="5"/>
      <c r="K748" s="43"/>
      <c r="U748" s="44"/>
    </row>
    <row r="749">
      <c r="A749" s="5"/>
      <c r="E749" s="5"/>
      <c r="H749" s="5"/>
      <c r="K749" s="43"/>
      <c r="U749" s="44"/>
    </row>
    <row r="750">
      <c r="A750" s="5"/>
      <c r="E750" s="5"/>
      <c r="H750" s="5"/>
      <c r="K750" s="43"/>
      <c r="U750" s="44"/>
    </row>
    <row r="751">
      <c r="A751" s="5"/>
      <c r="E751" s="5"/>
      <c r="H751" s="5"/>
      <c r="K751" s="43"/>
      <c r="U751" s="44"/>
    </row>
    <row r="752">
      <c r="A752" s="5"/>
      <c r="E752" s="5"/>
      <c r="H752" s="5"/>
      <c r="K752" s="43"/>
      <c r="U752" s="44"/>
    </row>
    <row r="753">
      <c r="A753" s="5"/>
      <c r="E753" s="5"/>
      <c r="H753" s="5"/>
      <c r="K753" s="43"/>
      <c r="U753" s="44"/>
    </row>
    <row r="754">
      <c r="A754" s="5"/>
      <c r="E754" s="5"/>
      <c r="H754" s="5"/>
      <c r="K754" s="43"/>
      <c r="U754" s="44"/>
    </row>
    <row r="755">
      <c r="A755" s="5"/>
      <c r="E755" s="5"/>
      <c r="H755" s="5"/>
      <c r="K755" s="43"/>
      <c r="U755" s="44"/>
    </row>
    <row r="756">
      <c r="A756" s="5"/>
      <c r="E756" s="5"/>
      <c r="H756" s="5"/>
      <c r="K756" s="43"/>
      <c r="U756" s="44"/>
    </row>
    <row r="757">
      <c r="A757" s="5"/>
      <c r="E757" s="5"/>
      <c r="H757" s="5"/>
      <c r="K757" s="43"/>
      <c r="U757" s="44"/>
    </row>
    <row r="758">
      <c r="A758" s="5"/>
      <c r="E758" s="5"/>
      <c r="H758" s="5"/>
      <c r="K758" s="43"/>
      <c r="U758" s="44"/>
    </row>
    <row r="759">
      <c r="A759" s="5"/>
      <c r="E759" s="5"/>
      <c r="H759" s="5"/>
      <c r="K759" s="43"/>
      <c r="U759" s="44"/>
    </row>
    <row r="760">
      <c r="A760" s="5"/>
      <c r="E760" s="5"/>
      <c r="H760" s="5"/>
      <c r="K760" s="43"/>
      <c r="U760" s="44"/>
    </row>
    <row r="761">
      <c r="A761" s="5"/>
      <c r="E761" s="5"/>
      <c r="H761" s="5"/>
      <c r="K761" s="43"/>
      <c r="U761" s="44"/>
    </row>
    <row r="762">
      <c r="A762" s="5"/>
      <c r="E762" s="5"/>
      <c r="H762" s="5"/>
      <c r="K762" s="43"/>
      <c r="U762" s="44"/>
    </row>
    <row r="763">
      <c r="A763" s="5"/>
      <c r="E763" s="5"/>
      <c r="H763" s="5"/>
      <c r="K763" s="43"/>
      <c r="U763" s="44"/>
    </row>
    <row r="764">
      <c r="A764" s="5"/>
      <c r="E764" s="5"/>
      <c r="H764" s="5"/>
      <c r="K764" s="43"/>
      <c r="U764" s="44"/>
    </row>
    <row r="765">
      <c r="A765" s="5"/>
      <c r="E765" s="5"/>
      <c r="H765" s="5"/>
      <c r="K765" s="43"/>
      <c r="U765" s="44"/>
    </row>
    <row r="766">
      <c r="A766" s="5"/>
      <c r="E766" s="5"/>
      <c r="H766" s="5"/>
      <c r="K766" s="43"/>
      <c r="U766" s="44"/>
    </row>
    <row r="767">
      <c r="A767" s="5"/>
      <c r="E767" s="5"/>
      <c r="H767" s="5"/>
      <c r="K767" s="43"/>
      <c r="U767" s="44"/>
    </row>
    <row r="768">
      <c r="A768" s="5"/>
      <c r="E768" s="5"/>
      <c r="H768" s="5"/>
      <c r="K768" s="43"/>
      <c r="U768" s="44"/>
    </row>
    <row r="769">
      <c r="A769" s="5"/>
      <c r="E769" s="5"/>
      <c r="H769" s="5"/>
      <c r="K769" s="43"/>
      <c r="U769" s="44"/>
    </row>
    <row r="770">
      <c r="A770" s="5"/>
      <c r="E770" s="5"/>
      <c r="H770" s="5"/>
      <c r="K770" s="43"/>
      <c r="U770" s="44"/>
    </row>
    <row r="771">
      <c r="A771" s="5"/>
      <c r="E771" s="5"/>
      <c r="H771" s="5"/>
      <c r="K771" s="43"/>
      <c r="U771" s="44"/>
    </row>
    <row r="772">
      <c r="A772" s="5"/>
      <c r="E772" s="5"/>
      <c r="H772" s="5"/>
      <c r="K772" s="43"/>
      <c r="U772" s="44"/>
    </row>
    <row r="773">
      <c r="A773" s="5"/>
      <c r="E773" s="5"/>
      <c r="H773" s="5"/>
      <c r="K773" s="43"/>
      <c r="U773" s="44"/>
    </row>
    <row r="774">
      <c r="A774" s="5"/>
      <c r="E774" s="5"/>
      <c r="H774" s="5"/>
      <c r="K774" s="43"/>
      <c r="U774" s="44"/>
    </row>
    <row r="775">
      <c r="A775" s="5"/>
      <c r="E775" s="5"/>
      <c r="H775" s="5"/>
      <c r="K775" s="43"/>
      <c r="U775" s="44"/>
    </row>
    <row r="776">
      <c r="A776" s="5"/>
      <c r="E776" s="5"/>
      <c r="H776" s="5"/>
      <c r="K776" s="43"/>
      <c r="U776" s="44"/>
    </row>
    <row r="777">
      <c r="A777" s="5"/>
      <c r="E777" s="5"/>
      <c r="H777" s="5"/>
      <c r="K777" s="43"/>
      <c r="U777" s="44"/>
    </row>
    <row r="778">
      <c r="A778" s="5"/>
      <c r="E778" s="5"/>
      <c r="H778" s="5"/>
      <c r="K778" s="43"/>
      <c r="U778" s="44"/>
    </row>
    <row r="779">
      <c r="A779" s="5"/>
      <c r="E779" s="5"/>
      <c r="H779" s="5"/>
      <c r="K779" s="43"/>
      <c r="U779" s="44"/>
    </row>
    <row r="780">
      <c r="A780" s="5"/>
      <c r="E780" s="5"/>
      <c r="H780" s="5"/>
      <c r="K780" s="43"/>
      <c r="U780" s="44"/>
    </row>
    <row r="781">
      <c r="A781" s="5"/>
      <c r="E781" s="5"/>
      <c r="H781" s="5"/>
      <c r="K781" s="43"/>
      <c r="U781" s="44"/>
    </row>
    <row r="782">
      <c r="A782" s="5"/>
      <c r="E782" s="5"/>
      <c r="H782" s="5"/>
      <c r="K782" s="43"/>
      <c r="U782" s="44"/>
    </row>
    <row r="783">
      <c r="A783" s="5"/>
      <c r="E783" s="5"/>
      <c r="H783" s="5"/>
      <c r="K783" s="43"/>
      <c r="U783" s="44"/>
    </row>
    <row r="784">
      <c r="A784" s="5"/>
      <c r="E784" s="5"/>
      <c r="H784" s="5"/>
      <c r="K784" s="43"/>
      <c r="U784" s="44"/>
    </row>
    <row r="785">
      <c r="A785" s="5"/>
      <c r="E785" s="5"/>
      <c r="H785" s="5"/>
      <c r="K785" s="43"/>
      <c r="U785" s="44"/>
    </row>
    <row r="786">
      <c r="A786" s="5"/>
      <c r="E786" s="5"/>
      <c r="H786" s="5"/>
      <c r="K786" s="43"/>
      <c r="U786" s="44"/>
    </row>
    <row r="787">
      <c r="A787" s="5"/>
      <c r="E787" s="5"/>
      <c r="H787" s="5"/>
      <c r="K787" s="43"/>
      <c r="U787" s="44"/>
    </row>
    <row r="788">
      <c r="A788" s="5"/>
      <c r="E788" s="5"/>
      <c r="H788" s="5"/>
      <c r="K788" s="43"/>
      <c r="U788" s="44"/>
    </row>
    <row r="789">
      <c r="A789" s="5"/>
      <c r="E789" s="5"/>
      <c r="H789" s="5"/>
      <c r="K789" s="43"/>
      <c r="U789" s="44"/>
    </row>
    <row r="790">
      <c r="A790" s="5"/>
      <c r="E790" s="5"/>
      <c r="H790" s="5"/>
      <c r="K790" s="43"/>
      <c r="U790" s="44"/>
    </row>
    <row r="791">
      <c r="A791" s="5"/>
      <c r="E791" s="5"/>
      <c r="H791" s="5"/>
      <c r="K791" s="43"/>
      <c r="U791" s="44"/>
    </row>
    <row r="792">
      <c r="A792" s="5"/>
      <c r="E792" s="5"/>
      <c r="H792" s="5"/>
      <c r="K792" s="43"/>
      <c r="U792" s="44"/>
    </row>
    <row r="793">
      <c r="A793" s="5"/>
      <c r="E793" s="5"/>
      <c r="H793" s="5"/>
      <c r="K793" s="43"/>
      <c r="U793" s="44"/>
    </row>
    <row r="794">
      <c r="A794" s="5"/>
      <c r="E794" s="5"/>
      <c r="H794" s="5"/>
      <c r="K794" s="43"/>
      <c r="U794" s="44"/>
    </row>
    <row r="795">
      <c r="A795" s="5"/>
      <c r="E795" s="5"/>
      <c r="H795" s="5"/>
      <c r="K795" s="43"/>
      <c r="U795" s="44"/>
    </row>
    <row r="796">
      <c r="A796" s="5"/>
      <c r="E796" s="5"/>
      <c r="H796" s="5"/>
      <c r="K796" s="43"/>
      <c r="U796" s="44"/>
    </row>
    <row r="797">
      <c r="A797" s="5"/>
      <c r="E797" s="5"/>
      <c r="H797" s="5"/>
      <c r="K797" s="43"/>
      <c r="U797" s="44"/>
    </row>
    <row r="798">
      <c r="A798" s="5"/>
      <c r="E798" s="5"/>
      <c r="H798" s="5"/>
      <c r="K798" s="43"/>
      <c r="U798" s="44"/>
    </row>
    <row r="799">
      <c r="A799" s="5"/>
      <c r="E799" s="5"/>
      <c r="H799" s="5"/>
      <c r="K799" s="43"/>
      <c r="U799" s="44"/>
    </row>
    <row r="800">
      <c r="A800" s="5"/>
      <c r="E800" s="5"/>
      <c r="H800" s="5"/>
      <c r="K800" s="43"/>
      <c r="U800" s="44"/>
    </row>
    <row r="801">
      <c r="A801" s="5"/>
      <c r="E801" s="5"/>
      <c r="H801" s="5"/>
      <c r="K801" s="43"/>
      <c r="U801" s="44"/>
    </row>
    <row r="802">
      <c r="A802" s="5"/>
      <c r="E802" s="5"/>
      <c r="H802" s="5"/>
      <c r="K802" s="43"/>
      <c r="U802" s="44"/>
    </row>
    <row r="803">
      <c r="A803" s="5"/>
      <c r="E803" s="5"/>
      <c r="H803" s="5"/>
      <c r="K803" s="43"/>
      <c r="U803" s="44"/>
    </row>
    <row r="804">
      <c r="A804" s="5"/>
      <c r="E804" s="5"/>
      <c r="H804" s="5"/>
      <c r="K804" s="43"/>
      <c r="U804" s="44"/>
    </row>
    <row r="805">
      <c r="A805" s="5"/>
      <c r="E805" s="5"/>
      <c r="H805" s="5"/>
      <c r="K805" s="43"/>
      <c r="U805" s="44"/>
    </row>
    <row r="806">
      <c r="A806" s="5"/>
      <c r="E806" s="5"/>
      <c r="H806" s="5"/>
      <c r="K806" s="43"/>
      <c r="U806" s="44"/>
    </row>
    <row r="807">
      <c r="A807" s="5"/>
      <c r="E807" s="5"/>
      <c r="H807" s="5"/>
      <c r="K807" s="43"/>
      <c r="U807" s="44"/>
    </row>
    <row r="808">
      <c r="A808" s="5"/>
      <c r="E808" s="5"/>
      <c r="H808" s="5"/>
      <c r="K808" s="43"/>
      <c r="U808" s="44"/>
    </row>
    <row r="809">
      <c r="A809" s="5"/>
      <c r="E809" s="5"/>
      <c r="H809" s="5"/>
      <c r="K809" s="43"/>
      <c r="U809" s="44"/>
    </row>
    <row r="810">
      <c r="A810" s="5"/>
      <c r="E810" s="5"/>
      <c r="H810" s="5"/>
      <c r="K810" s="43"/>
      <c r="U810" s="44"/>
    </row>
    <row r="811">
      <c r="A811" s="5"/>
      <c r="E811" s="5"/>
      <c r="H811" s="5"/>
      <c r="K811" s="43"/>
      <c r="U811" s="44"/>
    </row>
    <row r="812">
      <c r="A812" s="5"/>
      <c r="E812" s="5"/>
      <c r="H812" s="5"/>
      <c r="K812" s="43"/>
      <c r="U812" s="44"/>
    </row>
    <row r="813">
      <c r="A813" s="5"/>
      <c r="E813" s="5"/>
      <c r="H813" s="5"/>
      <c r="K813" s="43"/>
      <c r="U813" s="44"/>
    </row>
    <row r="814">
      <c r="A814" s="5"/>
      <c r="E814" s="5"/>
      <c r="H814" s="5"/>
      <c r="K814" s="43"/>
      <c r="U814" s="44"/>
    </row>
    <row r="815">
      <c r="A815" s="5"/>
      <c r="E815" s="5"/>
      <c r="H815" s="5"/>
      <c r="K815" s="43"/>
      <c r="U815" s="44"/>
    </row>
    <row r="816">
      <c r="A816" s="5"/>
      <c r="E816" s="5"/>
      <c r="H816" s="5"/>
      <c r="K816" s="43"/>
      <c r="U816" s="44"/>
    </row>
    <row r="817">
      <c r="A817" s="5"/>
      <c r="E817" s="5"/>
      <c r="H817" s="5"/>
      <c r="K817" s="43"/>
      <c r="U817" s="44"/>
    </row>
    <row r="818">
      <c r="A818" s="5"/>
      <c r="E818" s="5"/>
      <c r="H818" s="5"/>
      <c r="K818" s="43"/>
      <c r="U818" s="44"/>
    </row>
    <row r="819">
      <c r="A819" s="5"/>
      <c r="E819" s="5"/>
      <c r="H819" s="5"/>
      <c r="K819" s="43"/>
      <c r="U819" s="44"/>
    </row>
    <row r="820">
      <c r="A820" s="5"/>
      <c r="E820" s="5"/>
      <c r="H820" s="5"/>
      <c r="K820" s="43"/>
      <c r="U820" s="44"/>
    </row>
    <row r="821">
      <c r="A821" s="5"/>
      <c r="E821" s="5"/>
      <c r="H821" s="5"/>
      <c r="K821" s="43"/>
      <c r="U821" s="44"/>
    </row>
    <row r="822">
      <c r="A822" s="5"/>
      <c r="E822" s="5"/>
      <c r="H822" s="5"/>
      <c r="K822" s="43"/>
      <c r="U822" s="44"/>
    </row>
    <row r="823">
      <c r="A823" s="5"/>
      <c r="E823" s="5"/>
      <c r="H823" s="5"/>
      <c r="K823" s="43"/>
      <c r="U823" s="44"/>
    </row>
    <row r="824">
      <c r="A824" s="5"/>
      <c r="E824" s="5"/>
      <c r="H824" s="5"/>
      <c r="K824" s="43"/>
      <c r="U824" s="44"/>
    </row>
    <row r="825">
      <c r="A825" s="5"/>
      <c r="E825" s="5"/>
      <c r="H825" s="5"/>
      <c r="K825" s="43"/>
      <c r="U825" s="44"/>
    </row>
    <row r="826">
      <c r="A826" s="5"/>
      <c r="E826" s="5"/>
      <c r="H826" s="5"/>
      <c r="K826" s="43"/>
      <c r="U826" s="44"/>
    </row>
    <row r="827">
      <c r="A827" s="5"/>
      <c r="E827" s="5"/>
      <c r="H827" s="5"/>
      <c r="K827" s="43"/>
      <c r="U827" s="44"/>
    </row>
    <row r="828">
      <c r="A828" s="5"/>
      <c r="E828" s="5"/>
      <c r="H828" s="5"/>
      <c r="K828" s="43"/>
      <c r="U828" s="44"/>
    </row>
    <row r="829">
      <c r="A829" s="5"/>
      <c r="E829" s="5"/>
      <c r="H829" s="5"/>
      <c r="K829" s="43"/>
      <c r="U829" s="44"/>
    </row>
    <row r="830">
      <c r="A830" s="5"/>
      <c r="E830" s="5"/>
      <c r="H830" s="5"/>
      <c r="K830" s="43"/>
      <c r="U830" s="44"/>
    </row>
    <row r="831">
      <c r="A831" s="5"/>
      <c r="E831" s="5"/>
      <c r="H831" s="5"/>
      <c r="K831" s="43"/>
      <c r="U831" s="44"/>
    </row>
    <row r="832">
      <c r="A832" s="5"/>
      <c r="E832" s="5"/>
      <c r="H832" s="5"/>
      <c r="K832" s="43"/>
      <c r="U832" s="44"/>
    </row>
    <row r="833">
      <c r="A833" s="5"/>
      <c r="E833" s="5"/>
      <c r="H833" s="5"/>
      <c r="K833" s="43"/>
      <c r="U833" s="44"/>
    </row>
    <row r="834">
      <c r="A834" s="5"/>
      <c r="E834" s="5"/>
      <c r="H834" s="5"/>
      <c r="K834" s="43"/>
      <c r="U834" s="44"/>
    </row>
    <row r="835">
      <c r="A835" s="5"/>
      <c r="E835" s="5"/>
      <c r="H835" s="5"/>
      <c r="K835" s="43"/>
      <c r="U835" s="44"/>
    </row>
    <row r="836">
      <c r="A836" s="5"/>
      <c r="E836" s="5"/>
      <c r="H836" s="5"/>
      <c r="K836" s="43"/>
      <c r="U836" s="44"/>
    </row>
    <row r="837">
      <c r="A837" s="5"/>
      <c r="E837" s="5"/>
      <c r="H837" s="5"/>
      <c r="K837" s="43"/>
      <c r="U837" s="44"/>
    </row>
    <row r="838">
      <c r="A838" s="5"/>
      <c r="E838" s="5"/>
      <c r="H838" s="5"/>
      <c r="K838" s="43"/>
      <c r="U838" s="44"/>
    </row>
    <row r="839">
      <c r="A839" s="5"/>
      <c r="E839" s="5"/>
      <c r="H839" s="5"/>
      <c r="K839" s="43"/>
      <c r="U839" s="44"/>
    </row>
    <row r="840">
      <c r="A840" s="5"/>
      <c r="E840" s="5"/>
      <c r="H840" s="5"/>
      <c r="K840" s="43"/>
      <c r="U840" s="44"/>
    </row>
    <row r="841">
      <c r="A841" s="5"/>
      <c r="E841" s="5"/>
      <c r="H841" s="5"/>
      <c r="K841" s="43"/>
      <c r="U841" s="44"/>
    </row>
    <row r="842">
      <c r="A842" s="5"/>
      <c r="E842" s="5"/>
      <c r="H842" s="5"/>
      <c r="K842" s="43"/>
      <c r="U842" s="44"/>
    </row>
    <row r="843">
      <c r="A843" s="5"/>
      <c r="E843" s="5"/>
      <c r="H843" s="5"/>
      <c r="K843" s="43"/>
      <c r="U843" s="44"/>
    </row>
    <row r="844">
      <c r="A844" s="5"/>
      <c r="E844" s="5"/>
      <c r="H844" s="5"/>
      <c r="K844" s="43"/>
      <c r="U844" s="44"/>
    </row>
    <row r="845">
      <c r="A845" s="5"/>
      <c r="E845" s="5"/>
      <c r="H845" s="5"/>
      <c r="K845" s="43"/>
      <c r="U845" s="44"/>
    </row>
    <row r="846">
      <c r="A846" s="5"/>
      <c r="E846" s="5"/>
      <c r="H846" s="5"/>
      <c r="K846" s="43"/>
      <c r="U846" s="44"/>
    </row>
    <row r="847">
      <c r="A847" s="5"/>
      <c r="E847" s="5"/>
      <c r="H847" s="5"/>
      <c r="K847" s="43"/>
      <c r="U847" s="44"/>
    </row>
    <row r="848">
      <c r="A848" s="5"/>
      <c r="E848" s="5"/>
      <c r="H848" s="5"/>
      <c r="K848" s="43"/>
      <c r="U848" s="44"/>
    </row>
    <row r="849">
      <c r="A849" s="5"/>
      <c r="E849" s="5"/>
      <c r="H849" s="5"/>
      <c r="K849" s="43"/>
      <c r="U849" s="44"/>
    </row>
    <row r="850">
      <c r="A850" s="5"/>
      <c r="E850" s="5"/>
      <c r="H850" s="5"/>
      <c r="K850" s="43"/>
      <c r="U850" s="44"/>
    </row>
    <row r="851">
      <c r="A851" s="5"/>
      <c r="E851" s="5"/>
      <c r="H851" s="5"/>
      <c r="K851" s="43"/>
      <c r="U851" s="44"/>
    </row>
    <row r="852">
      <c r="A852" s="5"/>
      <c r="E852" s="5"/>
      <c r="H852" s="5"/>
      <c r="K852" s="43"/>
      <c r="U852" s="44"/>
    </row>
    <row r="853">
      <c r="A853" s="5"/>
      <c r="E853" s="5"/>
      <c r="H853" s="5"/>
      <c r="K853" s="43"/>
      <c r="U853" s="44"/>
    </row>
    <row r="854">
      <c r="A854" s="5"/>
      <c r="E854" s="5"/>
      <c r="H854" s="5"/>
      <c r="K854" s="43"/>
      <c r="U854" s="44"/>
    </row>
    <row r="855">
      <c r="A855" s="5"/>
      <c r="E855" s="5"/>
      <c r="H855" s="5"/>
      <c r="K855" s="43"/>
      <c r="U855" s="44"/>
    </row>
    <row r="856">
      <c r="A856" s="5"/>
      <c r="E856" s="5"/>
      <c r="H856" s="5"/>
      <c r="K856" s="43"/>
      <c r="U856" s="44"/>
    </row>
    <row r="857">
      <c r="A857" s="5"/>
      <c r="E857" s="5"/>
      <c r="H857" s="5"/>
      <c r="K857" s="43"/>
      <c r="U857" s="44"/>
    </row>
    <row r="858">
      <c r="A858" s="5"/>
      <c r="E858" s="5"/>
      <c r="H858" s="5"/>
      <c r="K858" s="43"/>
      <c r="U858" s="44"/>
    </row>
    <row r="859">
      <c r="A859" s="5"/>
      <c r="E859" s="5"/>
      <c r="H859" s="5"/>
      <c r="K859" s="43"/>
      <c r="U859" s="44"/>
    </row>
    <row r="860">
      <c r="A860" s="5"/>
      <c r="E860" s="5"/>
      <c r="H860" s="5"/>
      <c r="K860" s="43"/>
      <c r="U860" s="44"/>
    </row>
    <row r="861">
      <c r="A861" s="5"/>
      <c r="E861" s="5"/>
      <c r="H861" s="5"/>
      <c r="K861" s="43"/>
      <c r="U861" s="44"/>
    </row>
    <row r="862">
      <c r="A862" s="5"/>
      <c r="E862" s="5"/>
      <c r="H862" s="5"/>
      <c r="K862" s="43"/>
      <c r="U862" s="44"/>
    </row>
    <row r="863">
      <c r="A863" s="5"/>
      <c r="E863" s="5"/>
      <c r="H863" s="5"/>
      <c r="K863" s="43"/>
      <c r="U863" s="44"/>
    </row>
    <row r="864">
      <c r="A864" s="5"/>
      <c r="E864" s="5"/>
      <c r="H864" s="5"/>
      <c r="K864" s="43"/>
      <c r="U864" s="44"/>
    </row>
    <row r="865">
      <c r="A865" s="5"/>
      <c r="E865" s="5"/>
      <c r="H865" s="5"/>
      <c r="K865" s="43"/>
      <c r="U865" s="44"/>
    </row>
    <row r="866">
      <c r="A866" s="5"/>
      <c r="E866" s="5"/>
      <c r="H866" s="5"/>
      <c r="K866" s="43"/>
      <c r="U866" s="44"/>
    </row>
    <row r="867">
      <c r="A867" s="5"/>
      <c r="E867" s="5"/>
      <c r="H867" s="5"/>
      <c r="K867" s="43"/>
      <c r="U867" s="44"/>
    </row>
    <row r="868">
      <c r="A868" s="5"/>
      <c r="E868" s="5"/>
      <c r="H868" s="5"/>
      <c r="K868" s="43"/>
      <c r="U868" s="44"/>
    </row>
    <row r="869">
      <c r="A869" s="5"/>
      <c r="E869" s="5"/>
      <c r="H869" s="5"/>
      <c r="K869" s="43"/>
      <c r="U869" s="44"/>
    </row>
    <row r="870">
      <c r="A870" s="5"/>
      <c r="E870" s="5"/>
      <c r="H870" s="5"/>
      <c r="K870" s="43"/>
      <c r="U870" s="44"/>
    </row>
    <row r="871">
      <c r="A871" s="5"/>
      <c r="E871" s="5"/>
      <c r="H871" s="5"/>
      <c r="K871" s="43"/>
      <c r="U871" s="44"/>
    </row>
    <row r="872">
      <c r="A872" s="5"/>
      <c r="E872" s="5"/>
      <c r="H872" s="5"/>
      <c r="K872" s="43"/>
      <c r="U872" s="44"/>
    </row>
    <row r="873">
      <c r="A873" s="5"/>
      <c r="E873" s="5"/>
      <c r="H873" s="5"/>
      <c r="K873" s="43"/>
      <c r="U873" s="44"/>
    </row>
    <row r="874">
      <c r="A874" s="5"/>
      <c r="E874" s="5"/>
      <c r="H874" s="5"/>
      <c r="K874" s="43"/>
      <c r="U874" s="44"/>
    </row>
    <row r="875">
      <c r="A875" s="5"/>
      <c r="E875" s="5"/>
      <c r="H875" s="5"/>
      <c r="K875" s="43"/>
      <c r="U875" s="44"/>
    </row>
    <row r="876">
      <c r="A876" s="5"/>
      <c r="E876" s="5"/>
      <c r="H876" s="5"/>
      <c r="K876" s="43"/>
      <c r="U876" s="44"/>
    </row>
    <row r="877">
      <c r="A877" s="5"/>
      <c r="E877" s="5"/>
      <c r="H877" s="5"/>
      <c r="K877" s="43"/>
      <c r="U877" s="44"/>
    </row>
    <row r="878">
      <c r="A878" s="5"/>
      <c r="E878" s="5"/>
      <c r="H878" s="5"/>
      <c r="K878" s="43"/>
      <c r="U878" s="44"/>
    </row>
    <row r="879">
      <c r="A879" s="5"/>
      <c r="E879" s="5"/>
      <c r="H879" s="5"/>
      <c r="K879" s="43"/>
      <c r="U879" s="44"/>
    </row>
    <row r="880">
      <c r="A880" s="5"/>
      <c r="E880" s="5"/>
      <c r="H880" s="5"/>
      <c r="K880" s="43"/>
      <c r="U880" s="44"/>
    </row>
    <row r="881">
      <c r="A881" s="5"/>
      <c r="E881" s="5"/>
      <c r="H881" s="5"/>
      <c r="K881" s="43"/>
      <c r="U881" s="44"/>
    </row>
    <row r="882">
      <c r="A882" s="5"/>
      <c r="E882" s="5"/>
      <c r="H882" s="5"/>
      <c r="K882" s="43"/>
      <c r="U882" s="44"/>
    </row>
    <row r="883">
      <c r="A883" s="5"/>
      <c r="E883" s="5"/>
      <c r="H883" s="5"/>
      <c r="K883" s="43"/>
      <c r="U883" s="44"/>
    </row>
    <row r="884">
      <c r="A884" s="5"/>
      <c r="E884" s="5"/>
      <c r="H884" s="5"/>
      <c r="K884" s="43"/>
      <c r="U884" s="44"/>
    </row>
    <row r="885">
      <c r="A885" s="5"/>
      <c r="E885" s="5"/>
      <c r="H885" s="5"/>
      <c r="K885" s="43"/>
      <c r="U885" s="44"/>
    </row>
    <row r="886">
      <c r="A886" s="5"/>
      <c r="E886" s="5"/>
      <c r="H886" s="5"/>
      <c r="K886" s="43"/>
      <c r="U886" s="44"/>
    </row>
    <row r="887">
      <c r="A887" s="5"/>
      <c r="E887" s="5"/>
      <c r="H887" s="5"/>
      <c r="K887" s="43"/>
      <c r="U887" s="44"/>
    </row>
    <row r="888">
      <c r="A888" s="5"/>
      <c r="E888" s="5"/>
      <c r="H888" s="5"/>
      <c r="K888" s="43"/>
      <c r="U888" s="44"/>
    </row>
  </sheetData>
  <autoFilter ref="$A$1:$AV$888">
    <filterColumn colId="16">
      <filters blank="1">
        <filter val="Tunis"/>
        <filter val="Michoacán"/>
        <filter val="UNDEFINED"/>
        <filter val="Abai Region"/>
        <filter val="England"/>
        <filter val="Aragon"/>
        <filter val="Buskerud"/>
        <filter val="Yucatán"/>
        <filter val="Republika Srpska"/>
        <filter val="Northern Territory"/>
        <filter val="Nicosia"/>
        <filter val="Kamchatka Krai"/>
        <filter val="Republic of Bashkortostan"/>
        <filter val="Al Madinah Province"/>
        <filter val="Sermersooq Municipality"/>
        <filter val="Mie"/>
        <filter val="Rajasthan"/>
        <filter val="Québec"/>
        <filter val="Uttarakhand"/>
        <filter val="Tigray"/>
        <filter val="Sharjah"/>
        <filter val="Baden-Württemberg"/>
        <filter val="Murmanskaya oblast'"/>
        <filter val="Ömnögovi"/>
        <filter val="Fukushima"/>
        <filter val="Kyiv Oblast"/>
        <filter val="Komi Republic"/>
        <filter val="Normandie"/>
        <filter val="Guanajuato"/>
        <filter val="Chittagong Division"/>
        <filter val="Sikkim"/>
        <filter val="Respublika Sakha (Yakutiya)"/>
        <filter val="Sicily"/>
        <filter val="Madeira"/>
        <filter val="Karas Region"/>
        <filter val="Muğla"/>
        <filter val="Queensland"/>
        <filter val="Puno"/>
        <filter val="La Rioja"/>
        <filter val="Makkah Province"/>
        <filter val="Wyoming"/>
        <filter val="Kyoto"/>
        <filter val="Région de Tambacounda"/>
        <filter val="Chang Wat Phetchabun"/>
        <filter val="Lower Austria"/>
        <filter val="Ashgabat"/>
        <filter val="Daşoguz Region"/>
        <filter val="Kayseri"/>
        <filter val="Vologda Oblast"/>
        <filter val="Split-Dalmatia County"/>
        <filter val="Cantabria"/>
        <filter val="Sandoy"/>
        <filter val="Campania"/>
        <filter val="Tasmania"/>
        <filter val="Saint Anthony Parish"/>
        <filter val="Red Sea"/>
        <filter val="አፋር"/>
        <filter val="Western Cape"/>
        <filter val="Chelyabinsk Oblast"/>
        <filter val="Vojvodina"/>
        <filter val="Corsica"/>
        <filter val="Nagasaki"/>
        <filter val="Sal"/>
        <filter val="Bern"/>
        <filter val="Gujarat"/>
        <filter val="Tristan da Cunha"/>
        <filter val="Scotland"/>
        <filter val="Basilicata"/>
        <filter val="Shaanxi"/>
        <filter val="Ústecký kraj"/>
        <filter val="Madre de Dios"/>
        <filter val="Flanders"/>
        <filter val="Chang Wat Trat"/>
        <filter val="Jeonbuk State"/>
        <filter val="Kymenlaakso"/>
        <filter val="Minsk Region"/>
        <filter val="Amazonas"/>
        <filter val="Île-de-France"/>
        <filter val="Dhaka Division"/>
        <filter val="Antofagasta"/>
        <filter val="#ERROR!"/>
      </filters>
    </filterColumn>
    <sortState ref="A1:AV888">
      <sortCondition descending="1" ref="A1:A888"/>
      <sortCondition ref="V1:V888"/>
      <sortCondition ref="S1:S888"/>
      <sortCondition ref="E1:E888"/>
      <sortCondition ref="H1:H888"/>
      <sortCondition ref="K1:K888"/>
      <sortCondition ref="M1:M888"/>
      <sortCondition descending="1" ref="N1:N888"/>
      <sortCondition ref="O1:O888"/>
      <sortCondition ref="Q1:Q888"/>
      <sortCondition ref="R1:R888"/>
      <sortCondition ref="P1:P888"/>
      <sortCondition descending="1" ref="T1:T888"/>
      <sortCondition descending="1" ref="I1:I888"/>
      <sortCondition ref="F1:F888"/>
      <sortCondition ref="B1:B888"/>
      <sortCondition ref="J1:J888"/>
    </sortState>
  </autoFilter>
  <conditionalFormatting sqref="V2:Z888">
    <cfRule type="cellIs" dxfId="0" priority="1" operator="equal">
      <formula>"N/A"</formula>
    </cfRule>
  </conditionalFormatting>
  <conditionalFormatting sqref="G2:G888 I2:S888">
    <cfRule type="cellIs" dxfId="1" priority="2" operator="equal">
      <formula>"N/A"</formula>
    </cfRule>
  </conditionalFormatting>
  <conditionalFormatting sqref="T2:U888">
    <cfRule type="cellIs" dxfId="1" priority="3" operator="equal">
      <formula>"Not Driveable"</formula>
    </cfRule>
  </conditionalFormatting>
  <conditionalFormatting sqref="X2:X888">
    <cfRule type="cellIs" dxfId="2" priority="4" operator="equal">
      <formula>"UNKNOWN"</formula>
    </cfRule>
  </conditionalFormatting>
  <conditionalFormatting sqref="K2:K888">
    <cfRule type="cellIs" dxfId="3" priority="5" operator="equal">
      <formula>"FALSE"</formula>
    </cfRule>
  </conditionalFormatting>
  <conditionalFormatting sqref="K2:K888">
    <cfRule type="cellIs" dxfId="4" priority="6" operator="equal">
      <formula>"TRUE"</formula>
    </cfRule>
  </conditionalFormatting>
  <conditionalFormatting sqref="G2:G888 I2:S888">
    <cfRule type="expression" dxfId="2" priority="7">
      <formula>iserror(G2)</formula>
    </cfRule>
  </conditionalFormatting>
  <conditionalFormatting sqref="G2:G888 M2:S888">
    <cfRule type="cellIs" dxfId="5" priority="8" operator="equal">
      <formula>"UNDEFINED"</formula>
    </cfRule>
  </conditionalFormatting>
  <conditionalFormatting sqref="G2:G888 I2:S888">
    <cfRule type="notContainsBlanks" dxfId="6" priority="9">
      <formula>LEN(TRIM(G2))&gt;0</formula>
    </cfRule>
  </conditionalFormatting>
  <dataValidations>
    <dataValidation type="list" allowBlank="1" sqref="E2:E888">
      <formula1>"1 – Accessible – Freely,2 – Accessible – Gated Entry,3 – Accessible – Tour Guide Required,4 – Ambiguous / Unknown – Open,5 – Access Considerably Restricted – Special Process / Circumstance Required,6 – Inaccessible – Private Property No Trespassing,7 – In"&amp;"accessible – Government Property / Ban,8 – Inaccessible – Military Action / Dispute / Unrest,9 – Inaccessible – Other"</formula1>
    </dataValidation>
    <dataValidation type="list" allowBlank="1" sqref="A2:A888">
      <formula1>"1 - Not Worth Stopping,2 - Stop If On Route,3 - Detour Worthy,4 - Day Trip Worthy,5 - Weekend Road Trip Worthy,6 - Flight Worthy,7 - Bucket List"</formula1>
    </dataValidation>
    <dataValidation type="list" allowBlank="1" sqref="D16">
      <formula1>"Abandoned Building,Abandoned Structure,Ancient Ruins – Archaeological Site,Country,Cute Towns,Destination Dining,Destination Retreat / Getaway,Festival,Ghost Town,Military and Heavy Industry,Nature,Other,Park,Shipwreck,World Class City and Lands,Unclaimed"&amp;" Land,"</formula1>
    </dataValidation>
    <dataValidation type="list" allowBlank="1" sqref="B128">
      <formula1>"1 – Accessible – Freely,2 – Accessible – Gated Entry,3 – Accessible – Tour Guide Required,4 – Ambiguous / Unknown – Open,5 – Access Considerably Restricted – Special Process / Circumstance Required,6 – Inaccessible – Private Property No Trespassing,7 – In"&amp;"accessible – Government Property / Government Ban,8 – Inaccessible – Military Action / Dispute / Unrest,9 – Inaccessible – Other,"</formula1>
    </dataValidation>
    <dataValidation type="list" allowBlank="1" sqref="H2:H888">
      <formula1>"Abandoned Building,Abandoned Structure,Ancient Ruins – Archaeological Site,Country,Cute Towns,Destination Dining,Destination Retreat / Getaway,Festival,Ghost Town,Military and Heavy Industry,Museum,Nature,Other,Park,Religious Site,Secret Club,Shipwreck,Un"&amp;"claimed Land,World Class Cities and Lands"</formula1>
    </dataValidation>
  </dataValidations>
  <hyperlinks>
    <hyperlink r:id="rId1" ref="AB2"/>
    <hyperlink r:id="rId2" ref="AB8"/>
    <hyperlink r:id="rId3" ref="AB9"/>
    <hyperlink r:id="rId4" ref="AB10"/>
    <hyperlink r:id="rId5" ref="AB12"/>
    <hyperlink r:id="rId6" ref="AC13"/>
    <hyperlink r:id="rId7" ref="AD13"/>
    <hyperlink r:id="rId8" ref="AB15"/>
    <hyperlink r:id="rId9" ref="AB16"/>
    <hyperlink r:id="rId10" ref="AB17"/>
    <hyperlink r:id="rId11" ref="AB24"/>
    <hyperlink r:id="rId12" ref="AB25"/>
    <hyperlink r:id="rId13" ref="AC26"/>
    <hyperlink r:id="rId14" ref="AB27"/>
    <hyperlink r:id="rId15" ref="AB28"/>
    <hyperlink r:id="rId16" ref="AC30"/>
    <hyperlink r:id="rId17" ref="AB34"/>
    <hyperlink r:id="rId18" ref="AC35"/>
    <hyperlink r:id="rId19" ref="AB41"/>
    <hyperlink r:id="rId20" ref="AC44"/>
    <hyperlink r:id="rId21" ref="AB45"/>
    <hyperlink r:id="rId22" ref="AB46"/>
    <hyperlink r:id="rId23" ref="AC47"/>
    <hyperlink r:id="rId24" ref="AB48"/>
    <hyperlink r:id="rId25" ref="AB51"/>
    <hyperlink r:id="rId26" ref="AB52"/>
    <hyperlink r:id="rId27" ref="AB55"/>
    <hyperlink r:id="rId28" ref="AB56"/>
    <hyperlink r:id="rId29" ref="AB57"/>
    <hyperlink r:id="rId30" ref="AC58"/>
    <hyperlink r:id="rId31" ref="AB59"/>
    <hyperlink r:id="rId32" ref="AB64"/>
    <hyperlink r:id="rId33" ref="AB65"/>
    <hyperlink r:id="rId34" ref="AB66"/>
    <hyperlink r:id="rId35" ref="AB67"/>
    <hyperlink r:id="rId36" ref="AB68"/>
    <hyperlink r:id="rId37" location="louisiana-six-flags-new-orleans-closed-after-hurricane-katrina-and-never-reopened-18" ref="AB69"/>
    <hyperlink r:id="rId38" ref="AB71"/>
    <hyperlink r:id="rId39" ref="AB72"/>
    <hyperlink r:id="rId40" ref="AB75"/>
    <hyperlink r:id="rId41" ref="AB78"/>
    <hyperlink r:id="rId42" ref="AB79"/>
    <hyperlink r:id="rId43" ref="AC79"/>
    <hyperlink r:id="rId44" ref="AC84"/>
    <hyperlink r:id="rId45" ref="AB88"/>
    <hyperlink r:id="rId46" ref="AC91"/>
    <hyperlink r:id="rId47" ref="AB94"/>
    <hyperlink r:id="rId48" ref="AB101"/>
    <hyperlink r:id="rId49" ref="AB103"/>
    <hyperlink r:id="rId50" ref="AB104"/>
    <hyperlink r:id="rId51" ref="AB105"/>
    <hyperlink r:id="rId52" ref="AB106"/>
    <hyperlink r:id="rId53" ref="AB108"/>
    <hyperlink r:id="rId54" ref="AB110"/>
    <hyperlink r:id="rId55" ref="AB111"/>
    <hyperlink r:id="rId56" ref="AC111"/>
    <hyperlink r:id="rId57" ref="AB112"/>
    <hyperlink r:id="rId58" ref="AF114"/>
    <hyperlink r:id="rId59" ref="AB115"/>
    <hyperlink r:id="rId60" ref="AC115"/>
    <hyperlink r:id="rId61" ref="AB116"/>
    <hyperlink r:id="rId62" ref="AC116"/>
    <hyperlink r:id="rId63" ref="AB119"/>
    <hyperlink r:id="rId64" ref="AB123"/>
    <hyperlink r:id="rId65" ref="AB124"/>
    <hyperlink r:id="rId66" ref="AB126"/>
    <hyperlink r:id="rId67" ref="AB127"/>
    <hyperlink r:id="rId68" ref="AB128"/>
    <hyperlink r:id="rId69" ref="AB132"/>
    <hyperlink r:id="rId70" ref="AB133"/>
    <hyperlink r:id="rId71" location="new-york-hudson-river-state-hospital-in-poughkeepsie-operated-from-1871-until-2003-32" ref="AB135"/>
    <hyperlink r:id="rId72" ref="AB136"/>
    <hyperlink r:id="rId73" location="alabama-the-town-of-prattville-still-exists-today-but-many-of-the-old-factories-and-mills-in-the-area-are-abandoned-and-full-of-rusty-silent-machinery-1" ref="AB143"/>
    <hyperlink r:id="rId74" ref="AB145"/>
    <hyperlink r:id="rId75" ref="AB153"/>
    <hyperlink r:id="rId76" ref="AB158"/>
    <hyperlink r:id="rId77" ref="AB160"/>
    <hyperlink r:id="rId78" ref="AB161"/>
    <hyperlink r:id="rId79" ref="AB162"/>
    <hyperlink r:id="rId80" ref="AB163"/>
    <hyperlink r:id="rId81" ref="AB171"/>
    <hyperlink r:id="rId82" ref="AB172"/>
    <hyperlink r:id="rId83" ref="AB173"/>
    <hyperlink r:id="rId84" ref="AC174"/>
    <hyperlink r:id="rId85" ref="AB181"/>
    <hyperlink r:id="rId86" ref="AF182"/>
    <hyperlink r:id="rId87" ref="AF183"/>
    <hyperlink r:id="rId88" ref="AB184"/>
    <hyperlink r:id="rId89" ref="AB189"/>
    <hyperlink r:id="rId90" ref="AC189"/>
    <hyperlink r:id="rId91" ref="AB190"/>
    <hyperlink r:id="rId92" ref="AB191"/>
    <hyperlink r:id="rId93" location="ohio-the-ohio-state-reformatory-in-mansfield-offers-a-tour-led-by-a-former-prisoner-35" ref="AB192"/>
    <hyperlink r:id="rId94" ref="AB193"/>
    <hyperlink r:id="rId95" ref="AC193"/>
    <hyperlink r:id="rId96" ref="AB194"/>
    <hyperlink r:id="rId97" ref="AC194"/>
    <hyperlink r:id="rId98" ref="AB196"/>
    <hyperlink r:id="rId99" ref="AB197"/>
    <hyperlink r:id="rId100" location="wyoming-much-of-kirwin-was-swept-away-in-1907-50" ref="AB198"/>
    <hyperlink r:id="rId101" ref="AB199"/>
    <hyperlink r:id="rId102" ref="AB200"/>
    <hyperlink r:id="rId103" ref="AB201"/>
    <hyperlink r:id="rId104" ref="AB202"/>
    <hyperlink r:id="rId105" ref="AB204"/>
    <hyperlink r:id="rId106" location="vermont-hyde-manor-in-sudbury-was-a-resort-hotel-for-wealthy-tourists-in-the-mid-1800s-45" ref="AB205"/>
    <hyperlink r:id="rId107" ref="AB206"/>
    <hyperlink r:id="rId108" ref="AC206"/>
    <hyperlink r:id="rId109" location="oregon-from-its-construction-to-its-closing-tillamook-rock-light-in-tillamook-head-fielded-one-disaster-after-another-37" ref="AB208"/>
    <hyperlink r:id="rId110" ref="AB209"/>
    <hyperlink r:id="rId111" ref="AB210"/>
    <hyperlink r:id="rId112" location="maryland-curtis-creek-in-baltimore-is-a-floating-junkyard-20" ref="AB213"/>
    <hyperlink r:id="rId113" ref="AB214"/>
    <hyperlink r:id="rId114" location="florida-the-arthur-g-dozier-school-for-boys-in-marianna-has-a-dark-past-filled-with-violence-and-abuse-9" ref="AB215"/>
    <hyperlink r:id="rId115" ref="AB216"/>
    <hyperlink r:id="rId116" location="pennsylvania-the-eastern-state-penitentiary-in-philadelphia-inflicted-torturous-punishments-on-its-inmates-38" ref="AB217"/>
    <hyperlink r:id="rId117" ref="Y220"/>
    <hyperlink r:id="rId118" ref="AB220"/>
    <hyperlink r:id="rId119" ref="AC220"/>
    <hyperlink r:id="rId120" ref="AB221"/>
    <hyperlink r:id="rId121" ref="AC221"/>
    <hyperlink r:id="rId122" ref="AC222"/>
    <hyperlink r:id="rId123" location="utah-whatever-is-left-of-the-houses-in-thistle-remains-partially-buried-due-to-a-landslide-44" ref="AB225"/>
    <hyperlink r:id="rId124" ref="AB226"/>
    <hyperlink r:id="rId125" ref="AC227"/>
    <hyperlink r:id="rId126" location="colorado-the-atlas-e-missile-site-in-greeley-was-one-of-the-first-operational-intercontinental-ballistic-missile-sites-in-the-us-6" ref="AB233"/>
    <hyperlink r:id="rId127" ref="AB245"/>
    <hyperlink r:id="rId128" ref="AB246"/>
    <hyperlink r:id="rId129" ref="AB247"/>
    <hyperlink r:id="rId130" ref="AC247"/>
    <hyperlink r:id="rId131" ref="Y249"/>
    <hyperlink r:id="rId132" ref="AF250"/>
    <hyperlink r:id="rId133" ref="AF251"/>
    <hyperlink r:id="rId134" ref="AF252"/>
    <hyperlink r:id="rId135" ref="AF253"/>
    <hyperlink r:id="rId136" ref="AF254"/>
    <hyperlink r:id="rId137" ref="AF255"/>
    <hyperlink r:id="rId138" ref="AF256"/>
    <hyperlink r:id="rId139" ref="AF257"/>
    <hyperlink r:id="rId140" ref="AF258"/>
    <hyperlink r:id="rId141" ref="AF259"/>
    <hyperlink r:id="rId142" ref="AF260"/>
    <hyperlink r:id="rId143" ref="AF261"/>
    <hyperlink r:id="rId144" ref="AF262"/>
    <hyperlink r:id="rId145" ref="AF263"/>
    <hyperlink r:id="rId146" ref="AF264"/>
    <hyperlink r:id="rId147" ref="AF265"/>
    <hyperlink r:id="rId148" ref="AF266"/>
    <hyperlink r:id="rId149" ref="AF267"/>
    <hyperlink r:id="rId150" ref="AF268"/>
    <hyperlink r:id="rId151" ref="AF269"/>
    <hyperlink r:id="rId152" ref="AF270"/>
    <hyperlink r:id="rId153" ref="AF271"/>
    <hyperlink r:id="rId154" ref="AF272"/>
    <hyperlink r:id="rId155" ref="AF273"/>
    <hyperlink r:id="rId156" ref="AF274"/>
    <hyperlink r:id="rId157" ref="AF275"/>
    <hyperlink r:id="rId158" ref="AF276"/>
    <hyperlink r:id="rId159" ref="AF277"/>
    <hyperlink r:id="rId160" ref="AF278"/>
    <hyperlink r:id="rId161" ref="AF279"/>
    <hyperlink r:id="rId162" ref="AF280"/>
    <hyperlink r:id="rId163" ref="AB281"/>
    <hyperlink r:id="rId164" ref="AF281"/>
    <hyperlink r:id="rId165" ref="AF282"/>
    <hyperlink r:id="rId166" ref="AF283"/>
    <hyperlink r:id="rId167" ref="AF284"/>
    <hyperlink r:id="rId168" ref="AF285"/>
    <hyperlink r:id="rId169" ref="AF286"/>
    <hyperlink r:id="rId170" ref="AF287"/>
    <hyperlink r:id="rId171" ref="AF288"/>
    <hyperlink r:id="rId172" ref="AF289"/>
    <hyperlink r:id="rId173" ref="AF290"/>
    <hyperlink r:id="rId174" ref="AF291"/>
    <hyperlink r:id="rId175" ref="AF292"/>
    <hyperlink r:id="rId176" ref="AF293"/>
    <hyperlink r:id="rId177" ref="AF294"/>
    <hyperlink r:id="rId178" ref="AB295"/>
    <hyperlink r:id="rId179" ref="AB296"/>
    <hyperlink r:id="rId180" ref="AB297"/>
    <hyperlink r:id="rId181" ref="AB298"/>
    <hyperlink r:id="rId182" ref="AF299"/>
    <hyperlink r:id="rId183" ref="AF300"/>
    <hyperlink r:id="rId184" ref="AF301"/>
    <hyperlink r:id="rId185" ref="AF302"/>
    <hyperlink r:id="rId186" ref="AF303"/>
    <hyperlink r:id="rId187" ref="AF304"/>
    <hyperlink r:id="rId188" ref="AB305"/>
    <hyperlink r:id="rId189" ref="AF306"/>
    <hyperlink r:id="rId190" ref="AF307"/>
    <hyperlink r:id="rId191" ref="AF308"/>
    <hyperlink r:id="rId192" ref="AB310"/>
    <hyperlink r:id="rId193" ref="AC310"/>
    <hyperlink r:id="rId194" ref="AB311"/>
    <hyperlink r:id="rId195" ref="AB315"/>
    <hyperlink r:id="rId196" ref="AB316"/>
    <hyperlink r:id="rId197" ref="AB322"/>
    <hyperlink r:id="rId198" ref="AC322"/>
    <hyperlink r:id="rId199" ref="AB323"/>
    <hyperlink r:id="rId200" ref="AB324"/>
    <hyperlink r:id="rId201" ref="AB325"/>
    <hyperlink r:id="rId202" ref="AB326"/>
    <hyperlink r:id="rId203" ref="AB327"/>
    <hyperlink r:id="rId204" ref="AB328"/>
    <hyperlink r:id="rId205" ref="AB329"/>
    <hyperlink r:id="rId206" ref="AB330"/>
    <hyperlink r:id="rId207" ref="AB331"/>
    <hyperlink r:id="rId208" ref="AB332"/>
    <hyperlink r:id="rId209" ref="AB333"/>
    <hyperlink r:id="rId210" ref="AB334"/>
  </hyperlinks>
  <drawing r:id="rId2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15</v>
      </c>
      <c r="B1" s="2" t="s">
        <v>16</v>
      </c>
      <c r="C1" s="2" t="s">
        <v>17</v>
      </c>
      <c r="D1" s="2" t="s">
        <v>18</v>
      </c>
      <c r="E1" s="2" t="s">
        <v>19</v>
      </c>
      <c r="F1" s="2" t="s">
        <v>20</v>
      </c>
      <c r="G1" s="2" t="s">
        <v>21</v>
      </c>
    </row>
    <row r="2">
      <c r="A2" s="8" t="str">
        <f>iferror(GOOGLEMAPS_GET_ADDRESS_CITY(#REF!,true),"N/A")</f>
        <v>N/A</v>
      </c>
      <c r="B2" s="8" t="str">
        <f>iferror(GOOGLEMAPS_GET_ADDRESS_STATE(#REF!,true),"N/A")</f>
        <v>N/A</v>
      </c>
      <c r="C2" s="8" t="str">
        <f>iferror(GOOGLEMAPS_GET_ADDRESS_POSTAL_CODE(#REF!),"N/A")</f>
        <v>N/A</v>
      </c>
      <c r="D2" s="8" t="str">
        <f>IFERROR(GOOGLEMAPS_GET_ADDRESS_COUNTRY(#REF!,true),"N/A")</f>
        <v>N/A</v>
      </c>
      <c r="E2" s="11" t="str">
        <f>IFERROR(GOOGLEMAPS_DISTANCE("2116 4th Ave, Seattle, WA, 98121", #REF!, "driving")+0,"Not Driveable")</f>
        <v>Not Driveable</v>
      </c>
      <c r="F2" s="12" t="str">
        <f>iferror(GOOGLEMAPS_DURATION("2116 4th Ave, Seattle, WA, 98121", #REF!, "driving")+0,"Not Driveable")</f>
        <v>Not Driveable</v>
      </c>
      <c r="G2" s="13" t="str">
        <f>GOOGLEMAPS_DISTANCE("2116 4th Ave, Seattle, WA, 98121", #REF!, "flying")+0</f>
        <v>#ERROR!</v>
      </c>
    </row>
  </sheetData>
  <conditionalFormatting sqref="A2:D2">
    <cfRule type="cellIs" dxfId="1" priority="1" operator="equal">
      <formula>"N/A"</formula>
    </cfRule>
  </conditionalFormatting>
  <conditionalFormatting sqref="G1:G2">
    <cfRule type="cellIs" dxfId="0" priority="2" operator="equal">
      <formula>"N/A"</formula>
    </cfRule>
  </conditionalFormatting>
  <conditionalFormatting sqref="E1:F2">
    <cfRule type="cellIs" dxfId="1" priority="3" operator="equal">
      <formula>"Not Driveable"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5"/>
  </cols>
  <sheetData>
    <row r="1">
      <c r="A1" s="3" t="s">
        <v>18</v>
      </c>
      <c r="B1" s="3" t="s">
        <v>1287</v>
      </c>
      <c r="C1" s="5"/>
      <c r="D1" s="3" t="s">
        <v>1288</v>
      </c>
      <c r="E1" s="3" t="s">
        <v>1287</v>
      </c>
    </row>
    <row r="2">
      <c r="A2" s="46" t="str">
        <f t="array" ref="A2">UNIQUE(Backlog!H2:H1000)</f>
        <v>#REF!</v>
      </c>
      <c r="B2" s="46" t="str">
        <f t="shared" ref="B2:B34" si="1">COUNTIF(Backlog!$H$2:$H1000,A2)</f>
        <v>#REF!</v>
      </c>
      <c r="D2" s="47" t="str">
        <f t="array" ref="D2">UNIQUE(Backlog!F2:F1000)</f>
        <v>#REF!</v>
      </c>
      <c r="E2" s="46" t="str">
        <f t="shared" ref="E2:E82" si="2">COUNTIF(Backlog!$F$2:$F1000,D2)</f>
        <v>#REF!</v>
      </c>
    </row>
    <row r="3">
      <c r="B3" s="46" t="str">
        <f t="shared" si="1"/>
        <v>#REF!</v>
      </c>
      <c r="E3" s="46" t="str">
        <f t="shared" si="2"/>
        <v>#REF!</v>
      </c>
    </row>
    <row r="4">
      <c r="B4" s="46" t="str">
        <f t="shared" si="1"/>
        <v>#REF!</v>
      </c>
      <c r="E4" s="46" t="str">
        <f t="shared" si="2"/>
        <v>#REF!</v>
      </c>
    </row>
    <row r="5">
      <c r="B5" s="46" t="str">
        <f t="shared" si="1"/>
        <v>#REF!</v>
      </c>
      <c r="E5" s="46" t="str">
        <f t="shared" si="2"/>
        <v>#REF!</v>
      </c>
    </row>
    <row r="6">
      <c r="B6" s="46" t="str">
        <f t="shared" si="1"/>
        <v>#REF!</v>
      </c>
      <c r="E6" s="46" t="str">
        <f t="shared" si="2"/>
        <v>#REF!</v>
      </c>
    </row>
    <row r="7">
      <c r="B7" s="46" t="str">
        <f t="shared" si="1"/>
        <v>#REF!</v>
      </c>
      <c r="E7" s="46" t="str">
        <f t="shared" si="2"/>
        <v>#REF!</v>
      </c>
    </row>
    <row r="8">
      <c r="B8" s="46" t="str">
        <f t="shared" si="1"/>
        <v>#REF!</v>
      </c>
      <c r="E8" s="46" t="str">
        <f t="shared" si="2"/>
        <v>#REF!</v>
      </c>
    </row>
    <row r="9">
      <c r="B9" s="46" t="str">
        <f t="shared" si="1"/>
        <v>#REF!</v>
      </c>
      <c r="E9" s="46" t="str">
        <f t="shared" si="2"/>
        <v>#REF!</v>
      </c>
    </row>
    <row r="10">
      <c r="B10" s="46" t="str">
        <f t="shared" si="1"/>
        <v>#REF!</v>
      </c>
      <c r="E10" s="46" t="str">
        <f t="shared" si="2"/>
        <v>#REF!</v>
      </c>
    </row>
    <row r="11">
      <c r="B11" s="46" t="str">
        <f t="shared" si="1"/>
        <v>#REF!</v>
      </c>
      <c r="E11" s="46" t="str">
        <f t="shared" si="2"/>
        <v>#REF!</v>
      </c>
    </row>
    <row r="12">
      <c r="B12" s="46" t="str">
        <f t="shared" si="1"/>
        <v>#REF!</v>
      </c>
      <c r="E12" s="46" t="str">
        <f t="shared" si="2"/>
        <v>#REF!</v>
      </c>
    </row>
    <row r="13">
      <c r="B13" s="46" t="str">
        <f t="shared" si="1"/>
        <v>#REF!</v>
      </c>
      <c r="E13" s="46" t="str">
        <f t="shared" si="2"/>
        <v>#REF!</v>
      </c>
    </row>
    <row r="14">
      <c r="B14" s="46" t="str">
        <f t="shared" si="1"/>
        <v>#REF!</v>
      </c>
      <c r="E14" s="46" t="str">
        <f t="shared" si="2"/>
        <v>#REF!</v>
      </c>
    </row>
    <row r="15">
      <c r="B15" s="46" t="str">
        <f t="shared" si="1"/>
        <v>#REF!</v>
      </c>
      <c r="E15" s="46" t="str">
        <f t="shared" si="2"/>
        <v>#REF!</v>
      </c>
    </row>
    <row r="16">
      <c r="B16" s="46" t="str">
        <f t="shared" si="1"/>
        <v>#REF!</v>
      </c>
      <c r="E16" s="46" t="str">
        <f t="shared" si="2"/>
        <v>#REF!</v>
      </c>
    </row>
    <row r="17">
      <c r="B17" s="46" t="str">
        <f t="shared" si="1"/>
        <v>#REF!</v>
      </c>
      <c r="E17" s="46" t="str">
        <f t="shared" si="2"/>
        <v>#REF!</v>
      </c>
    </row>
    <row r="18">
      <c r="B18" s="46" t="str">
        <f t="shared" si="1"/>
        <v>#REF!</v>
      </c>
      <c r="E18" s="46" t="str">
        <f t="shared" si="2"/>
        <v>#REF!</v>
      </c>
    </row>
    <row r="19">
      <c r="B19" s="46" t="str">
        <f t="shared" si="1"/>
        <v>#REF!</v>
      </c>
      <c r="E19" s="46" t="str">
        <f t="shared" si="2"/>
        <v>#REF!</v>
      </c>
    </row>
    <row r="20">
      <c r="B20" s="46" t="str">
        <f t="shared" si="1"/>
        <v>#REF!</v>
      </c>
      <c r="E20" s="46" t="str">
        <f t="shared" si="2"/>
        <v>#REF!</v>
      </c>
    </row>
    <row r="21">
      <c r="B21" s="46" t="str">
        <f t="shared" si="1"/>
        <v>#REF!</v>
      </c>
      <c r="E21" s="46" t="str">
        <f t="shared" si="2"/>
        <v>#REF!</v>
      </c>
    </row>
    <row r="22">
      <c r="B22" s="46" t="str">
        <f t="shared" si="1"/>
        <v>#REF!</v>
      </c>
      <c r="E22" s="46" t="str">
        <f t="shared" si="2"/>
        <v>#REF!</v>
      </c>
    </row>
    <row r="23">
      <c r="B23" s="46" t="str">
        <f t="shared" si="1"/>
        <v>#REF!</v>
      </c>
      <c r="E23" s="46" t="str">
        <f t="shared" si="2"/>
        <v>#REF!</v>
      </c>
    </row>
    <row r="24">
      <c r="B24" s="46" t="str">
        <f t="shared" si="1"/>
        <v>#REF!</v>
      </c>
      <c r="E24" s="46" t="str">
        <f t="shared" si="2"/>
        <v>#REF!</v>
      </c>
    </row>
    <row r="25">
      <c r="B25" s="46" t="str">
        <f t="shared" si="1"/>
        <v>#REF!</v>
      </c>
      <c r="E25" s="46" t="str">
        <f t="shared" si="2"/>
        <v>#REF!</v>
      </c>
    </row>
    <row r="26">
      <c r="B26" s="46" t="str">
        <f t="shared" si="1"/>
        <v>#REF!</v>
      </c>
      <c r="E26" s="46" t="str">
        <f t="shared" si="2"/>
        <v>#REF!</v>
      </c>
    </row>
    <row r="27">
      <c r="B27" s="46" t="str">
        <f t="shared" si="1"/>
        <v>#REF!</v>
      </c>
      <c r="E27" s="46" t="str">
        <f t="shared" si="2"/>
        <v>#REF!</v>
      </c>
    </row>
    <row r="28">
      <c r="B28" s="46" t="str">
        <f t="shared" si="1"/>
        <v>#REF!</v>
      </c>
      <c r="E28" s="46" t="str">
        <f t="shared" si="2"/>
        <v>#REF!</v>
      </c>
    </row>
    <row r="29">
      <c r="B29" s="46" t="str">
        <f t="shared" si="1"/>
        <v>#REF!</v>
      </c>
      <c r="E29" s="46" t="str">
        <f t="shared" si="2"/>
        <v>#REF!</v>
      </c>
    </row>
    <row r="30">
      <c r="B30" s="46" t="str">
        <f t="shared" si="1"/>
        <v>#REF!</v>
      </c>
      <c r="E30" s="46" t="str">
        <f t="shared" si="2"/>
        <v>#REF!</v>
      </c>
    </row>
    <row r="31">
      <c r="B31" s="46" t="str">
        <f t="shared" si="1"/>
        <v>#REF!</v>
      </c>
      <c r="E31" s="46" t="str">
        <f t="shared" si="2"/>
        <v>#REF!</v>
      </c>
    </row>
    <row r="32">
      <c r="B32" s="46" t="str">
        <f t="shared" si="1"/>
        <v>#REF!</v>
      </c>
      <c r="E32" s="46" t="str">
        <f t="shared" si="2"/>
        <v>#REF!</v>
      </c>
    </row>
    <row r="33">
      <c r="B33" s="46" t="str">
        <f t="shared" si="1"/>
        <v>#REF!</v>
      </c>
      <c r="E33" s="46" t="str">
        <f t="shared" si="2"/>
        <v>#REF!</v>
      </c>
    </row>
    <row r="34">
      <c r="B34" s="46" t="str">
        <f t="shared" si="1"/>
        <v>#REF!</v>
      </c>
      <c r="E34" s="46" t="str">
        <f t="shared" si="2"/>
        <v>#REF!</v>
      </c>
    </row>
    <row r="35">
      <c r="E35" s="46" t="str">
        <f t="shared" si="2"/>
        <v>#REF!</v>
      </c>
    </row>
    <row r="36">
      <c r="E36" s="46" t="str">
        <f t="shared" si="2"/>
        <v>#REF!</v>
      </c>
    </row>
    <row r="37">
      <c r="E37" s="46" t="str">
        <f t="shared" si="2"/>
        <v>#REF!</v>
      </c>
    </row>
    <row r="38">
      <c r="E38" s="46" t="str">
        <f t="shared" si="2"/>
        <v>#REF!</v>
      </c>
    </row>
    <row r="39">
      <c r="E39" s="46" t="str">
        <f t="shared" si="2"/>
        <v>#REF!</v>
      </c>
    </row>
    <row r="40">
      <c r="E40" s="46" t="str">
        <f t="shared" si="2"/>
        <v>#REF!</v>
      </c>
    </row>
    <row r="41">
      <c r="E41" s="46" t="str">
        <f t="shared" si="2"/>
        <v>#REF!</v>
      </c>
    </row>
    <row r="42">
      <c r="E42" s="46" t="str">
        <f t="shared" si="2"/>
        <v>#REF!</v>
      </c>
    </row>
    <row r="43">
      <c r="E43" s="46" t="str">
        <f t="shared" si="2"/>
        <v>#REF!</v>
      </c>
    </row>
    <row r="44">
      <c r="E44" s="46" t="str">
        <f t="shared" si="2"/>
        <v>#REF!</v>
      </c>
    </row>
    <row r="45">
      <c r="E45" s="46" t="str">
        <f t="shared" si="2"/>
        <v>#REF!</v>
      </c>
    </row>
    <row r="46">
      <c r="E46" s="46" t="str">
        <f t="shared" si="2"/>
        <v>#REF!</v>
      </c>
    </row>
    <row r="47">
      <c r="E47" s="46" t="str">
        <f t="shared" si="2"/>
        <v>#REF!</v>
      </c>
    </row>
    <row r="48">
      <c r="E48" s="46" t="str">
        <f t="shared" si="2"/>
        <v>#REF!</v>
      </c>
    </row>
    <row r="49">
      <c r="E49" s="46" t="str">
        <f t="shared" si="2"/>
        <v>#REF!</v>
      </c>
    </row>
    <row r="50">
      <c r="E50" s="46" t="str">
        <f t="shared" si="2"/>
        <v>#REF!</v>
      </c>
    </row>
    <row r="51">
      <c r="E51" s="46" t="str">
        <f t="shared" si="2"/>
        <v>#REF!</v>
      </c>
    </row>
    <row r="52">
      <c r="E52" s="46" t="str">
        <f t="shared" si="2"/>
        <v>#REF!</v>
      </c>
    </row>
    <row r="53">
      <c r="E53" s="46" t="str">
        <f t="shared" si="2"/>
        <v>#REF!</v>
      </c>
    </row>
    <row r="54">
      <c r="E54" s="46" t="str">
        <f t="shared" si="2"/>
        <v>#REF!</v>
      </c>
    </row>
    <row r="55">
      <c r="E55" s="46" t="str">
        <f t="shared" si="2"/>
        <v>#REF!</v>
      </c>
    </row>
    <row r="56">
      <c r="E56" s="46" t="str">
        <f t="shared" si="2"/>
        <v>#REF!</v>
      </c>
    </row>
    <row r="57">
      <c r="E57" s="46" t="str">
        <f t="shared" si="2"/>
        <v>#REF!</v>
      </c>
    </row>
    <row r="58">
      <c r="E58" s="46" t="str">
        <f t="shared" si="2"/>
        <v>#REF!</v>
      </c>
    </row>
    <row r="59">
      <c r="E59" s="46" t="str">
        <f t="shared" si="2"/>
        <v>#REF!</v>
      </c>
    </row>
    <row r="60">
      <c r="E60" s="46" t="str">
        <f t="shared" si="2"/>
        <v>#REF!</v>
      </c>
    </row>
    <row r="61">
      <c r="E61" s="46" t="str">
        <f t="shared" si="2"/>
        <v>#REF!</v>
      </c>
    </row>
    <row r="62">
      <c r="E62" s="46" t="str">
        <f t="shared" si="2"/>
        <v>#REF!</v>
      </c>
    </row>
    <row r="63">
      <c r="E63" s="46" t="str">
        <f t="shared" si="2"/>
        <v>#REF!</v>
      </c>
    </row>
    <row r="64">
      <c r="E64" s="46" t="str">
        <f t="shared" si="2"/>
        <v>#REF!</v>
      </c>
    </row>
    <row r="65">
      <c r="E65" s="46" t="str">
        <f t="shared" si="2"/>
        <v>#REF!</v>
      </c>
    </row>
    <row r="66">
      <c r="E66" s="46" t="str">
        <f t="shared" si="2"/>
        <v>#REF!</v>
      </c>
    </row>
    <row r="67">
      <c r="E67" s="46" t="str">
        <f t="shared" si="2"/>
        <v>#REF!</v>
      </c>
    </row>
    <row r="68">
      <c r="E68" s="46" t="str">
        <f t="shared" si="2"/>
        <v>#REF!</v>
      </c>
    </row>
    <row r="69">
      <c r="E69" s="46" t="str">
        <f t="shared" si="2"/>
        <v>#REF!</v>
      </c>
    </row>
    <row r="70">
      <c r="E70" s="46" t="str">
        <f t="shared" si="2"/>
        <v>#REF!</v>
      </c>
    </row>
    <row r="71">
      <c r="E71" s="46" t="str">
        <f t="shared" si="2"/>
        <v>#REF!</v>
      </c>
    </row>
    <row r="72">
      <c r="E72" s="46" t="str">
        <f t="shared" si="2"/>
        <v>#REF!</v>
      </c>
    </row>
    <row r="73">
      <c r="E73" s="46" t="str">
        <f t="shared" si="2"/>
        <v>#REF!</v>
      </c>
    </row>
    <row r="74">
      <c r="E74" s="46" t="str">
        <f t="shared" si="2"/>
        <v>#REF!</v>
      </c>
    </row>
    <row r="75">
      <c r="E75" s="46" t="str">
        <f t="shared" si="2"/>
        <v>#REF!</v>
      </c>
    </row>
    <row r="76">
      <c r="E76" s="46" t="str">
        <f t="shared" si="2"/>
        <v>#REF!</v>
      </c>
    </row>
    <row r="77">
      <c r="E77" s="46" t="str">
        <f t="shared" si="2"/>
        <v>#REF!</v>
      </c>
    </row>
    <row r="78">
      <c r="E78" s="46" t="str">
        <f t="shared" si="2"/>
        <v>#REF!</v>
      </c>
    </row>
    <row r="79">
      <c r="E79" s="46" t="str">
        <f t="shared" si="2"/>
        <v>#REF!</v>
      </c>
    </row>
    <row r="80">
      <c r="E80" s="46" t="str">
        <f t="shared" si="2"/>
        <v>#REF!</v>
      </c>
    </row>
    <row r="81">
      <c r="E81" s="46" t="str">
        <f t="shared" si="2"/>
        <v>#REF!</v>
      </c>
    </row>
    <row r="82">
      <c r="E82" s="46" t="str">
        <f t="shared" si="2"/>
        <v>#REF!</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4.75"/>
  </cols>
  <sheetData>
    <row r="1">
      <c r="A1" s="48" t="s">
        <v>1</v>
      </c>
      <c r="B1" s="48" t="s">
        <v>1289</v>
      </c>
    </row>
    <row r="2">
      <c r="A2" s="25" t="s">
        <v>1290</v>
      </c>
      <c r="B2" s="4" t="s">
        <v>1291</v>
      </c>
    </row>
    <row r="3">
      <c r="A3" s="25" t="s">
        <v>1292</v>
      </c>
      <c r="B3" s="4" t="s">
        <v>1292</v>
      </c>
    </row>
    <row r="4">
      <c r="A4" s="25" t="s">
        <v>1293</v>
      </c>
      <c r="B4" s="4" t="s">
        <v>1294</v>
      </c>
    </row>
    <row r="5">
      <c r="A5" s="14" t="s">
        <v>102</v>
      </c>
      <c r="B5" s="4" t="s">
        <v>1295</v>
      </c>
    </row>
    <row r="6">
      <c r="A6" s="25" t="s">
        <v>348</v>
      </c>
      <c r="B6" s="4" t="s">
        <v>1296</v>
      </c>
    </row>
    <row r="7">
      <c r="A7" s="14" t="s">
        <v>706</v>
      </c>
      <c r="B7" s="4" t="s">
        <v>1297</v>
      </c>
    </row>
    <row r="8">
      <c r="A8" s="14" t="s">
        <v>1298</v>
      </c>
      <c r="B8" s="4" t="s">
        <v>1299</v>
      </c>
    </row>
    <row r="9">
      <c r="A9" s="25" t="s">
        <v>1300</v>
      </c>
      <c r="B9" s="4" t="s">
        <v>1301</v>
      </c>
    </row>
    <row r="10">
      <c r="A10" s="14" t="s">
        <v>845</v>
      </c>
    </row>
    <row r="11">
      <c r="A11" s="14" t="s">
        <v>1302</v>
      </c>
      <c r="B11" s="4" t="s">
        <v>1303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63"/>
  </cols>
  <sheetData>
    <row r="1">
      <c r="A1" s="49" t="s">
        <v>1</v>
      </c>
      <c r="B1" s="49" t="s">
        <v>1304</v>
      </c>
      <c r="C1" s="49" t="s">
        <v>844</v>
      </c>
    </row>
    <row r="2">
      <c r="A2" s="4" t="s">
        <v>1305</v>
      </c>
      <c r="B2" s="4" t="s">
        <v>1306</v>
      </c>
      <c r="C2" s="50" t="s">
        <v>1307</v>
      </c>
    </row>
  </sheetData>
  <hyperlinks>
    <hyperlink r:id="rId1" ref="C2"/>
  </hyperlinks>
  <drawing r:id="rId2"/>
</worksheet>
</file>